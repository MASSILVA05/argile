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 firstSheet="1" activeTab="1"/>
  </bookViews>
  <sheets>
    <sheet name="SUIVIE VERSSEMENT STATION " sheetId="6" r:id="rId1"/>
    <sheet name="Feuil1" sheetId="1" r:id="rId2"/>
    <sheet name="Feuil2" sheetId="2" r:id="rId3"/>
    <sheet name="Feuil3" sheetId="3" r:id="rId4"/>
    <sheet name="Feuil4" sheetId="4" r:id="rId5"/>
    <sheet name="Feuil5" sheetId="5" r:id="rId6"/>
    <sheet name="Feuil6" sheetId="7" r:id="rId7"/>
    <sheet name="Feuil7" sheetId="8" r:id="rId8"/>
  </sheets>
  <calcPr calcId="124519"/>
</workbook>
</file>

<file path=xl/calcChain.xml><?xml version="1.0" encoding="utf-8"?>
<calcChain xmlns="http://schemas.openxmlformats.org/spreadsheetml/2006/main">
  <c r="C20" i="8"/>
  <c r="B20"/>
  <c r="E20" s="1"/>
  <c r="D37"/>
  <c r="C36"/>
  <c r="B36"/>
  <c r="C35"/>
  <c r="B35"/>
  <c r="C34"/>
  <c r="B34"/>
  <c r="C33"/>
  <c r="B33"/>
  <c r="C32"/>
  <c r="B32"/>
  <c r="C31"/>
  <c r="B31"/>
  <c r="C30"/>
  <c r="B30"/>
  <c r="C29"/>
  <c r="B29"/>
  <c r="E29" s="1"/>
  <c r="C28"/>
  <c r="B28"/>
  <c r="C27"/>
  <c r="B27"/>
  <c r="E27" s="1"/>
  <c r="E26"/>
  <c r="C26"/>
  <c r="B26"/>
  <c r="C25"/>
  <c r="B25"/>
  <c r="C24"/>
  <c r="B24"/>
  <c r="C23"/>
  <c r="B23"/>
  <c r="C22"/>
  <c r="B22"/>
  <c r="C21"/>
  <c r="B21"/>
  <c r="C19"/>
  <c r="B19"/>
  <c r="E19" s="1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Q8" i="7"/>
  <c r="R8" s="1"/>
  <c r="P19"/>
  <c r="P20"/>
  <c r="C22"/>
  <c r="D36"/>
  <c r="C35"/>
  <c r="B35"/>
  <c r="C34"/>
  <c r="B34"/>
  <c r="E34" s="1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D59" i="6"/>
  <c r="E14" i="8" l="1"/>
  <c r="E35"/>
  <c r="E34"/>
  <c r="E33"/>
  <c r="E32"/>
  <c r="E30"/>
  <c r="E25"/>
  <c r="E24"/>
  <c r="E22"/>
  <c r="E21"/>
  <c r="E18"/>
  <c r="E16"/>
  <c r="E15"/>
  <c r="E13"/>
  <c r="E11"/>
  <c r="E10"/>
  <c r="E8"/>
  <c r="C37"/>
  <c r="E7"/>
  <c r="E9"/>
  <c r="E12"/>
  <c r="E17"/>
  <c r="E23"/>
  <c r="E28"/>
  <c r="E31"/>
  <c r="E36"/>
  <c r="B37"/>
  <c r="E6"/>
  <c r="E35" i="7"/>
  <c r="E33"/>
  <c r="E27"/>
  <c r="E26"/>
  <c r="E24"/>
  <c r="E23"/>
  <c r="E19"/>
  <c r="E17"/>
  <c r="E15"/>
  <c r="E11"/>
  <c r="E10"/>
  <c r="E8"/>
  <c r="E31"/>
  <c r="E13"/>
  <c r="E22"/>
  <c r="E7"/>
  <c r="E9"/>
  <c r="E16"/>
  <c r="E18"/>
  <c r="E25"/>
  <c r="E32"/>
  <c r="E20"/>
  <c r="E29"/>
  <c r="C36"/>
  <c r="E12"/>
  <c r="E14"/>
  <c r="E21"/>
  <c r="E28"/>
  <c r="E30"/>
  <c r="E6"/>
  <c r="B36"/>
  <c r="D44" i="6"/>
  <c r="D45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C2"/>
  <c r="B2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"/>
  <c r="D3"/>
  <c r="D36" i="5"/>
  <c r="C35"/>
  <c r="B35"/>
  <c r="C34"/>
  <c r="B34"/>
  <c r="E34" s="1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E23" s="1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E14" s="1"/>
  <c r="C13"/>
  <c r="B13"/>
  <c r="C12"/>
  <c r="B12"/>
  <c r="C11"/>
  <c r="B11"/>
  <c r="C10"/>
  <c r="B10"/>
  <c r="C9"/>
  <c r="B9"/>
  <c r="C8"/>
  <c r="B8"/>
  <c r="C7"/>
  <c r="B7"/>
  <c r="C6"/>
  <c r="B6"/>
  <c r="C5"/>
  <c r="C36" s="1"/>
  <c r="B5"/>
  <c r="D35" i="4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E10" s="1"/>
  <c r="C9"/>
  <c r="B9"/>
  <c r="C8"/>
  <c r="B8"/>
  <c r="C7"/>
  <c r="B7"/>
  <c r="C6"/>
  <c r="B6"/>
  <c r="E6" s="1"/>
  <c r="C5"/>
  <c r="B5"/>
  <c r="D36" i="3"/>
  <c r="C33"/>
  <c r="E33" s="1"/>
  <c r="C34"/>
  <c r="E34" s="1"/>
  <c r="C35"/>
  <c r="B33"/>
  <c r="B34"/>
  <c r="B35"/>
  <c r="B5"/>
  <c r="B36" s="1"/>
  <c r="C5"/>
  <c r="C36" s="1"/>
  <c r="B32"/>
  <c r="C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E17" s="1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D33" i="2"/>
  <c r="C32"/>
  <c r="B32"/>
  <c r="E32" s="1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E23" s="1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E11" s="1"/>
  <c r="B11"/>
  <c r="C10"/>
  <c r="B10"/>
  <c r="C9"/>
  <c r="B9"/>
  <c r="C8"/>
  <c r="B8"/>
  <c r="C7"/>
  <c r="B7"/>
  <c r="C6"/>
  <c r="B6"/>
  <c r="C5"/>
  <c r="B5"/>
  <c r="E6" i="1"/>
  <c r="D37"/>
  <c r="C36"/>
  <c r="B36"/>
  <c r="B6"/>
  <c r="C35"/>
  <c r="B35"/>
  <c r="C34"/>
  <c r="E34" s="1"/>
  <c r="B34"/>
  <c r="C33"/>
  <c r="B33"/>
  <c r="C32"/>
  <c r="B32"/>
  <c r="C31"/>
  <c r="B31"/>
  <c r="C30"/>
  <c r="B30"/>
  <c r="C29"/>
  <c r="B29"/>
  <c r="C28"/>
  <c r="B28"/>
  <c r="C27"/>
  <c r="B27"/>
  <c r="C26"/>
  <c r="E26" s="1"/>
  <c r="B26"/>
  <c r="C25"/>
  <c r="B25"/>
  <c r="C24"/>
  <c r="B24"/>
  <c r="C23"/>
  <c r="B23"/>
  <c r="C22"/>
  <c r="B22"/>
  <c r="C21"/>
  <c r="B21"/>
  <c r="C20"/>
  <c r="B20"/>
  <c r="C19"/>
  <c r="B19"/>
  <c r="C18"/>
  <c r="E18" s="1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C37" s="1"/>
  <c r="B7"/>
  <c r="C6"/>
  <c r="C5"/>
  <c r="B5"/>
  <c r="B37" l="1"/>
  <c r="E36"/>
  <c r="E21" i="3"/>
  <c r="B36" i="5"/>
  <c r="E35"/>
  <c r="E31"/>
  <c r="E36" i="7"/>
  <c r="E37" i="8"/>
  <c r="B1" i="6"/>
  <c r="E30" i="5"/>
  <c r="E27"/>
  <c r="E26"/>
  <c r="E22"/>
  <c r="E19"/>
  <c r="E18"/>
  <c r="E15"/>
  <c r="E11"/>
  <c r="E10"/>
  <c r="E7"/>
  <c r="E6"/>
  <c r="E9"/>
  <c r="E12"/>
  <c r="E17"/>
  <c r="E20"/>
  <c r="E25"/>
  <c r="E28"/>
  <c r="E33"/>
  <c r="E8"/>
  <c r="E13"/>
  <c r="E16"/>
  <c r="E21"/>
  <c r="E24"/>
  <c r="E29"/>
  <c r="E32"/>
  <c r="E5"/>
  <c r="E36" s="1"/>
  <c r="E11" i="4"/>
  <c r="E13"/>
  <c r="E19"/>
  <c r="E23"/>
  <c r="E33"/>
  <c r="E32"/>
  <c r="E31"/>
  <c r="E30"/>
  <c r="E29"/>
  <c r="E28"/>
  <c r="E27"/>
  <c r="E26"/>
  <c r="E24"/>
  <c r="E22"/>
  <c r="E21"/>
  <c r="E20"/>
  <c r="E18"/>
  <c r="E16"/>
  <c r="E15"/>
  <c r="E14"/>
  <c r="E34"/>
  <c r="E25"/>
  <c r="E17"/>
  <c r="E12"/>
  <c r="E9"/>
  <c r="E8"/>
  <c r="E7"/>
  <c r="E5"/>
  <c r="C35"/>
  <c r="B35"/>
  <c r="E35" i="3"/>
  <c r="E32"/>
  <c r="E30"/>
  <c r="E29"/>
  <c r="E26"/>
  <c r="E25"/>
  <c r="E22"/>
  <c r="E18"/>
  <c r="E14"/>
  <c r="E13"/>
  <c r="E10"/>
  <c r="E9"/>
  <c r="E7"/>
  <c r="E12"/>
  <c r="E15"/>
  <c r="E20"/>
  <c r="E23"/>
  <c r="E28"/>
  <c r="E31"/>
  <c r="E8"/>
  <c r="E11"/>
  <c r="E16"/>
  <c r="E19"/>
  <c r="E24"/>
  <c r="E27"/>
  <c r="E6"/>
  <c r="E5"/>
  <c r="E31" i="2"/>
  <c r="E30"/>
  <c r="E28"/>
  <c r="E26"/>
  <c r="E24"/>
  <c r="E7"/>
  <c r="E6"/>
  <c r="E5"/>
  <c r="C33"/>
  <c r="E13"/>
  <c r="E15"/>
  <c r="E17"/>
  <c r="E19"/>
  <c r="E21"/>
  <c r="E8"/>
  <c r="E10"/>
  <c r="E20"/>
  <c r="E22"/>
  <c r="E27"/>
  <c r="E29"/>
  <c r="E9"/>
  <c r="E16"/>
  <c r="E18"/>
  <c r="E25"/>
  <c r="E12"/>
  <c r="E14"/>
  <c r="B33"/>
  <c r="E35" i="1"/>
  <c r="E31"/>
  <c r="E29"/>
  <c r="E28"/>
  <c r="E27"/>
  <c r="E23"/>
  <c r="E21"/>
  <c r="E20"/>
  <c r="E19"/>
  <c r="E15"/>
  <c r="E14"/>
  <c r="E11"/>
  <c r="E10"/>
  <c r="E7"/>
  <c r="E9"/>
  <c r="E12"/>
  <c r="E17"/>
  <c r="E22"/>
  <c r="E24"/>
  <c r="E33"/>
  <c r="E8"/>
  <c r="E13"/>
  <c r="E16"/>
  <c r="E25"/>
  <c r="E30"/>
  <c r="E32"/>
  <c r="E5"/>
  <c r="E37" s="1"/>
  <c r="E33" i="2" l="1"/>
  <c r="E36" i="3"/>
  <c r="E35" i="4"/>
</calcChain>
</file>

<file path=xl/sharedStrings.xml><?xml version="1.0" encoding="utf-8"?>
<sst xmlns="http://schemas.openxmlformats.org/spreadsheetml/2006/main" count="129" uniqueCount="31">
  <si>
    <t xml:space="preserve">DATTE </t>
  </si>
  <si>
    <t>SANS PLOMB</t>
  </si>
  <si>
    <t>GASOIL</t>
  </si>
  <si>
    <t>GAZ BUTAN</t>
  </si>
  <si>
    <t>TOTAL</t>
  </si>
  <si>
    <t>sp1</t>
  </si>
  <si>
    <t>sp2</t>
  </si>
  <si>
    <t>gaz1</t>
  </si>
  <si>
    <t>gaz2</t>
  </si>
  <si>
    <t>gaz3</t>
  </si>
  <si>
    <t>NOM ET PRENOM</t>
  </si>
  <si>
    <t>NBR D'HEUR</t>
  </si>
  <si>
    <t>SALAIRE NET</t>
  </si>
  <si>
    <t>BENHAMMA KHALED</t>
  </si>
  <si>
    <t>BENMAMMAR NOREDIN</t>
  </si>
  <si>
    <t xml:space="preserve">ETAT DES VENTE TTC SARL STATION OUATAH MOIS JANVIER 2026 </t>
  </si>
  <si>
    <t>IRG DES SALAIRES MOIS JANVIER 2026 SARL STATION OUATAH</t>
  </si>
  <si>
    <t xml:space="preserve">ETAT DES VENTE TTC SARL STATION OUATAH MOIS feverie 2026 </t>
  </si>
  <si>
    <t>IRG DES SALAIRES MOIS feverier 2026 SARL STATION OUATAH</t>
  </si>
  <si>
    <t xml:space="preserve">ETAT DES VENTE TTC SARL STATION OUATAH MOIS MARS 2026 </t>
  </si>
  <si>
    <t>IRG DES SALAIRES MOIS MARS 2026 SARL STATION OUATAH</t>
  </si>
  <si>
    <t xml:space="preserve">ETAT DES VENTE TTC SARL STATION OUATAH MOIS AVRIL 2026 </t>
  </si>
  <si>
    <t xml:space="preserve">ETAT DES VENTE TTC SARL STATION OUATAH MOIS MAI 2026 </t>
  </si>
  <si>
    <t>IRG DES SALAIRES MOIS MAI 2026 SARL STATION OUATAH</t>
  </si>
  <si>
    <t>SOLDE</t>
  </si>
  <si>
    <t>SOLDE ACTUEL</t>
  </si>
  <si>
    <t xml:space="preserve">ETAT DES VENTE TTC SARL STATION OUATAH MOIS JUIN 2026 </t>
  </si>
  <si>
    <t>IRG DES SALAIRES MOIS JUIN 2026 SARL STATION OUATAH</t>
  </si>
  <si>
    <t>STOCH GAS BUTAN</t>
  </si>
  <si>
    <t xml:space="preserve">ETAT DES VENTE TTC SARL STATION OUATAH MOIS JUILLET 2026 </t>
  </si>
  <si>
    <t>IRG DES SALAIRES MOIS JUILLET 2026 SARL STATION OUATAH</t>
  </si>
</sst>
</file>

<file path=xl/styles.xml><?xml version="1.0" encoding="utf-8"?>
<styleSheet xmlns="http://schemas.openxmlformats.org/spreadsheetml/2006/main">
  <numFmts count="1">
    <numFmt numFmtId="43" formatCode="_-* #,##0.00\ _€_-;\-* #,##0.00\ _€_-;_-* &quot;-&quot;??\ _€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/>
    <xf numFmtId="43" fontId="0" fillId="0" borderId="1" xfId="1" applyFont="1" applyBorder="1"/>
    <xf numFmtId="43" fontId="0" fillId="0" borderId="0" xfId="1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43" fontId="0" fillId="0" borderId="2" xfId="1" applyFont="1" applyFill="1" applyBorder="1"/>
    <xf numFmtId="43" fontId="0" fillId="0" borderId="0" xfId="1" applyFont="1" applyFill="1" applyBorder="1"/>
    <xf numFmtId="43" fontId="0" fillId="0" borderId="3" xfId="1" applyFont="1" applyFill="1" applyBorder="1"/>
    <xf numFmtId="43" fontId="2" fillId="0" borderId="1" xfId="1" applyFont="1" applyBorder="1"/>
    <xf numFmtId="14" fontId="0" fillId="3" borderId="1" xfId="0" applyNumberFormat="1" applyFill="1" applyBorder="1"/>
    <xf numFmtId="43" fontId="0" fillId="3" borderId="1" xfId="1" applyFont="1" applyFill="1" applyBorder="1"/>
    <xf numFmtId="0" fontId="0" fillId="0" borderId="0" xfId="0" applyBorder="1"/>
    <xf numFmtId="43" fontId="2" fillId="0" borderId="0" xfId="1" applyFont="1"/>
    <xf numFmtId="14" fontId="0" fillId="0" borderId="1" xfId="0" applyNumberFormat="1" applyBorder="1"/>
    <xf numFmtId="43" fontId="0" fillId="0" borderId="1" xfId="0" applyNumberFormat="1" applyBorder="1"/>
    <xf numFmtId="43" fontId="0" fillId="4" borderId="1" xfId="1" applyFont="1" applyFill="1" applyBorder="1"/>
    <xf numFmtId="0" fontId="0" fillId="4" borderId="0" xfId="0" applyFill="1"/>
    <xf numFmtId="43" fontId="0" fillId="0" borderId="1" xfId="1" applyFont="1" applyFill="1" applyBorder="1"/>
    <xf numFmtId="0" fontId="0" fillId="0" borderId="0" xfId="0" applyFill="1"/>
    <xf numFmtId="0" fontId="0" fillId="0" borderId="1" xfId="0" applyBorder="1" applyAlignment="1">
      <alignment horizontal="left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workbookViewId="0">
      <pane ySplit="2" topLeftCell="A39" activePane="bottomLeft" state="frozen"/>
      <selection pane="bottomLeft" activeCell="E51" sqref="E51"/>
    </sheetView>
  </sheetViews>
  <sheetFormatPr baseColWidth="10" defaultRowHeight="14.4"/>
  <cols>
    <col min="1" max="1" width="12.21875" bestFit="1" customWidth="1"/>
    <col min="2" max="2" width="15.44140625" style="3" bestFit="1" customWidth="1"/>
    <col min="3" max="3" width="16" style="3" customWidth="1"/>
    <col min="4" max="4" width="16.44140625" customWidth="1"/>
  </cols>
  <sheetData>
    <row r="1" spans="1:4">
      <c r="A1" s="24" t="s">
        <v>25</v>
      </c>
      <c r="B1" s="23">
        <f>+B2-C2</f>
        <v>6105453</v>
      </c>
      <c r="C1" s="23"/>
      <c r="D1" s="25" t="s">
        <v>24</v>
      </c>
    </row>
    <row r="2" spans="1:4">
      <c r="A2" s="24"/>
      <c r="B2" s="15">
        <f>SUM(B3:B72)</f>
        <v>28034265</v>
      </c>
      <c r="C2" s="15">
        <f>SUM(C3:C72)</f>
        <v>21928812</v>
      </c>
      <c r="D2" s="25"/>
    </row>
    <row r="3" spans="1:4">
      <c r="A3" s="16">
        <v>46138</v>
      </c>
      <c r="B3" s="2">
        <v>403000</v>
      </c>
      <c r="C3" s="2"/>
      <c r="D3" s="17">
        <f>+B3-C3</f>
        <v>403000</v>
      </c>
    </row>
    <row r="4" spans="1:4">
      <c r="A4" s="16">
        <v>46138</v>
      </c>
      <c r="B4" s="2">
        <v>658000</v>
      </c>
      <c r="C4" s="2"/>
      <c r="D4" s="17">
        <f>+D3+B4-C4</f>
        <v>1061000</v>
      </c>
    </row>
    <row r="5" spans="1:4">
      <c r="A5" s="16">
        <v>46139</v>
      </c>
      <c r="B5" s="2">
        <v>837000</v>
      </c>
      <c r="C5" s="2"/>
      <c r="D5" s="17">
        <f t="shared" ref="D5:D59" si="0">+D4+B5-C5</f>
        <v>1898000</v>
      </c>
    </row>
    <row r="6" spans="1:4">
      <c r="A6" s="16">
        <v>46141</v>
      </c>
      <c r="B6" s="2"/>
      <c r="C6" s="2">
        <v>1898000</v>
      </c>
      <c r="D6" s="17">
        <f t="shared" si="0"/>
        <v>0</v>
      </c>
    </row>
    <row r="7" spans="1:4">
      <c r="A7" s="16">
        <v>46145</v>
      </c>
      <c r="B7" s="2">
        <v>651000</v>
      </c>
      <c r="C7" s="2"/>
      <c r="D7" s="17">
        <f t="shared" si="0"/>
        <v>651000</v>
      </c>
    </row>
    <row r="8" spans="1:4">
      <c r="A8" s="16">
        <v>46145</v>
      </c>
      <c r="B8" s="2">
        <v>572750</v>
      </c>
      <c r="C8" s="2"/>
      <c r="D8" s="17">
        <f t="shared" si="0"/>
        <v>1223750</v>
      </c>
    </row>
    <row r="9" spans="1:4">
      <c r="A9" s="16">
        <v>46145</v>
      </c>
      <c r="B9" s="2"/>
      <c r="C9" s="2">
        <v>122350</v>
      </c>
      <c r="D9" s="17">
        <f t="shared" si="0"/>
        <v>1101400</v>
      </c>
    </row>
    <row r="10" spans="1:4">
      <c r="A10" s="16">
        <v>46148</v>
      </c>
      <c r="B10" s="2">
        <v>1045000</v>
      </c>
      <c r="C10" s="2"/>
      <c r="D10" s="17">
        <f t="shared" si="0"/>
        <v>2146400</v>
      </c>
    </row>
    <row r="11" spans="1:4">
      <c r="A11" s="16">
        <v>46149</v>
      </c>
      <c r="B11" s="2">
        <v>560000</v>
      </c>
      <c r="C11" s="2"/>
      <c r="D11" s="17">
        <f t="shared" si="0"/>
        <v>2706400</v>
      </c>
    </row>
    <row r="12" spans="1:4">
      <c r="A12" s="16">
        <v>46150</v>
      </c>
      <c r="B12" s="2">
        <v>350000</v>
      </c>
      <c r="C12" s="2"/>
      <c r="D12" s="17">
        <f t="shared" si="0"/>
        <v>3056400</v>
      </c>
    </row>
    <row r="13" spans="1:4">
      <c r="A13" s="16">
        <v>46152</v>
      </c>
      <c r="B13" s="2">
        <v>585000</v>
      </c>
      <c r="C13" s="2"/>
      <c r="D13" s="17">
        <f t="shared" si="0"/>
        <v>3641400</v>
      </c>
    </row>
    <row r="14" spans="1:4">
      <c r="A14" s="6"/>
      <c r="B14" s="2">
        <v>568100</v>
      </c>
      <c r="C14" s="2"/>
      <c r="D14" s="17">
        <f t="shared" si="0"/>
        <v>4209500</v>
      </c>
    </row>
    <row r="15" spans="1:4">
      <c r="A15" s="6"/>
      <c r="B15" s="2">
        <v>120165</v>
      </c>
      <c r="C15" s="2"/>
      <c r="D15" s="17">
        <f t="shared" si="0"/>
        <v>4329665</v>
      </c>
    </row>
    <row r="16" spans="1:4">
      <c r="A16" s="6"/>
      <c r="B16" s="2"/>
      <c r="C16" s="2">
        <v>1228260</v>
      </c>
      <c r="D16" s="17">
        <f t="shared" si="0"/>
        <v>3101405</v>
      </c>
    </row>
    <row r="17" spans="1:4">
      <c r="A17" s="16">
        <v>46156</v>
      </c>
      <c r="B17" s="2">
        <v>600000</v>
      </c>
      <c r="C17" s="2"/>
      <c r="D17" s="17">
        <f t="shared" si="0"/>
        <v>3701405</v>
      </c>
    </row>
    <row r="18" spans="1:4">
      <c r="A18" s="6"/>
      <c r="B18" s="2"/>
      <c r="C18" s="2">
        <v>1380000</v>
      </c>
      <c r="D18" s="17">
        <f t="shared" si="0"/>
        <v>2321405</v>
      </c>
    </row>
    <row r="19" spans="1:4">
      <c r="A19" s="16">
        <v>46159</v>
      </c>
      <c r="B19" s="2">
        <v>359750</v>
      </c>
      <c r="C19" s="2"/>
      <c r="D19" s="17">
        <f t="shared" si="0"/>
        <v>2681155</v>
      </c>
    </row>
    <row r="20" spans="1:4">
      <c r="A20" s="6"/>
      <c r="B20" s="2">
        <v>700000</v>
      </c>
      <c r="C20" s="2"/>
      <c r="D20" s="17">
        <f t="shared" si="0"/>
        <v>3381155</v>
      </c>
    </row>
    <row r="21" spans="1:4">
      <c r="A21" s="16">
        <v>46161</v>
      </c>
      <c r="B21" s="2"/>
      <c r="C21" s="2">
        <v>2280000</v>
      </c>
      <c r="D21" s="17">
        <f t="shared" si="0"/>
        <v>1101155</v>
      </c>
    </row>
    <row r="22" spans="1:4">
      <c r="A22" s="6"/>
      <c r="B22" s="2">
        <v>611000</v>
      </c>
      <c r="C22" s="2"/>
      <c r="D22" s="17">
        <f t="shared" si="0"/>
        <v>1712155</v>
      </c>
    </row>
    <row r="23" spans="1:4">
      <c r="A23" s="6"/>
      <c r="B23" s="2"/>
      <c r="C23" s="2">
        <v>611000</v>
      </c>
      <c r="D23" s="17">
        <f t="shared" si="0"/>
        <v>1101155</v>
      </c>
    </row>
    <row r="24" spans="1:4">
      <c r="A24" s="16">
        <v>46162</v>
      </c>
      <c r="B24" s="2">
        <v>372000</v>
      </c>
      <c r="C24" s="2"/>
      <c r="D24" s="17">
        <f t="shared" si="0"/>
        <v>1473155</v>
      </c>
    </row>
    <row r="25" spans="1:4">
      <c r="A25" s="6"/>
      <c r="B25" s="2"/>
      <c r="C25" s="2">
        <v>372000</v>
      </c>
      <c r="D25" s="17">
        <f t="shared" si="0"/>
        <v>1101155</v>
      </c>
    </row>
    <row r="26" spans="1:4">
      <c r="A26" s="16">
        <v>46163</v>
      </c>
      <c r="B26" s="2">
        <v>372000</v>
      </c>
      <c r="C26" s="2"/>
      <c r="D26" s="17">
        <f t="shared" si="0"/>
        <v>1473155</v>
      </c>
    </row>
    <row r="27" spans="1:4">
      <c r="A27" s="6"/>
      <c r="B27" s="2"/>
      <c r="C27" s="2">
        <v>372000</v>
      </c>
      <c r="D27" s="17">
        <f t="shared" si="0"/>
        <v>1101155</v>
      </c>
    </row>
    <row r="28" spans="1:4">
      <c r="A28" s="16">
        <v>46166</v>
      </c>
      <c r="B28" s="2">
        <v>611000</v>
      </c>
      <c r="C28" s="2"/>
      <c r="D28" s="17">
        <f t="shared" si="0"/>
        <v>1712155</v>
      </c>
    </row>
    <row r="29" spans="1:4">
      <c r="A29" s="6"/>
      <c r="B29" s="2">
        <v>137000</v>
      </c>
      <c r="C29" s="2"/>
      <c r="D29" s="17">
        <f t="shared" si="0"/>
        <v>1849155</v>
      </c>
    </row>
    <row r="30" spans="1:4">
      <c r="A30" s="6"/>
      <c r="B30" s="2">
        <v>600000</v>
      </c>
      <c r="C30" s="2"/>
      <c r="D30" s="17">
        <f t="shared" si="0"/>
        <v>2449155</v>
      </c>
    </row>
    <row r="31" spans="1:4">
      <c r="A31" s="16">
        <v>46167</v>
      </c>
      <c r="B31" s="2"/>
      <c r="C31" s="2">
        <v>5000000</v>
      </c>
      <c r="D31" s="17">
        <f t="shared" si="0"/>
        <v>-2550845</v>
      </c>
    </row>
    <row r="32" spans="1:4">
      <c r="A32" s="6"/>
      <c r="B32" s="2">
        <v>151750</v>
      </c>
      <c r="C32" s="2"/>
      <c r="D32" s="17">
        <f t="shared" si="0"/>
        <v>-2399095</v>
      </c>
    </row>
    <row r="33" spans="1:4">
      <c r="A33" s="6"/>
      <c r="B33" s="2">
        <v>300000</v>
      </c>
      <c r="C33" s="2"/>
      <c r="D33" s="17">
        <f t="shared" si="0"/>
        <v>-2099095</v>
      </c>
    </row>
    <row r="34" spans="1:4">
      <c r="A34" s="6"/>
      <c r="B34" s="2">
        <v>311000</v>
      </c>
      <c r="C34" s="2"/>
      <c r="D34" s="17">
        <f t="shared" si="0"/>
        <v>-1788095</v>
      </c>
    </row>
    <row r="35" spans="1:4">
      <c r="A35" s="6"/>
      <c r="B35" s="2">
        <v>837000</v>
      </c>
      <c r="C35" s="2"/>
      <c r="D35" s="17">
        <f t="shared" si="0"/>
        <v>-951095</v>
      </c>
    </row>
    <row r="36" spans="1:4">
      <c r="A36" s="6"/>
      <c r="B36" s="2">
        <v>658000</v>
      </c>
      <c r="C36" s="2"/>
      <c r="D36" s="17">
        <f t="shared" si="0"/>
        <v>-293095</v>
      </c>
    </row>
    <row r="37" spans="1:4">
      <c r="A37" s="6"/>
      <c r="B37" s="2">
        <v>350000</v>
      </c>
      <c r="C37" s="2"/>
      <c r="D37" s="17">
        <f t="shared" si="0"/>
        <v>56905</v>
      </c>
    </row>
    <row r="38" spans="1:4">
      <c r="A38" s="6"/>
      <c r="B38" s="2">
        <v>214000</v>
      </c>
      <c r="C38" s="2"/>
      <c r="D38" s="17">
        <f t="shared" si="0"/>
        <v>270905</v>
      </c>
    </row>
    <row r="39" spans="1:4">
      <c r="A39" s="6"/>
      <c r="B39" s="2">
        <v>700000</v>
      </c>
      <c r="C39" s="2"/>
      <c r="D39" s="17">
        <f t="shared" si="0"/>
        <v>970905</v>
      </c>
    </row>
    <row r="40" spans="1:4">
      <c r="A40" s="6"/>
      <c r="B40" s="2"/>
      <c r="C40" s="2">
        <v>5000000</v>
      </c>
      <c r="D40" s="17">
        <f t="shared" si="0"/>
        <v>-4029095</v>
      </c>
    </row>
    <row r="41" spans="1:4">
      <c r="A41" s="6"/>
      <c r="B41" s="2">
        <v>795000</v>
      </c>
      <c r="C41" s="2"/>
      <c r="D41" s="17">
        <f t="shared" si="0"/>
        <v>-3234095</v>
      </c>
    </row>
    <row r="42" spans="1:4">
      <c r="A42" s="6"/>
      <c r="B42" s="2">
        <v>900000</v>
      </c>
      <c r="C42" s="2"/>
      <c r="D42" s="17">
        <f t="shared" si="0"/>
        <v>-2334095</v>
      </c>
    </row>
    <row r="43" spans="1:4">
      <c r="A43" s="6"/>
      <c r="B43" s="2">
        <v>2027000</v>
      </c>
      <c r="C43" s="2"/>
      <c r="D43" s="17">
        <f t="shared" si="0"/>
        <v>-307095</v>
      </c>
    </row>
    <row r="44" spans="1:4">
      <c r="A44" s="6"/>
      <c r="B44" s="2"/>
      <c r="C44" s="2">
        <v>599974</v>
      </c>
      <c r="D44" s="17">
        <f t="shared" si="0"/>
        <v>-907069</v>
      </c>
    </row>
    <row r="45" spans="1:4">
      <c r="A45" s="6"/>
      <c r="B45" s="2"/>
      <c r="C45" s="2">
        <v>1500028</v>
      </c>
      <c r="D45" s="17">
        <f t="shared" si="0"/>
        <v>-2407097</v>
      </c>
    </row>
    <row r="46" spans="1:4">
      <c r="A46" s="6"/>
      <c r="B46" s="2">
        <v>1409750</v>
      </c>
      <c r="C46" s="2"/>
      <c r="D46" s="17">
        <f t="shared" si="0"/>
        <v>-997347</v>
      </c>
    </row>
    <row r="47" spans="1:4">
      <c r="A47" s="6"/>
      <c r="B47" s="2">
        <v>837000</v>
      </c>
      <c r="C47" s="2"/>
      <c r="D47" s="17">
        <f t="shared" si="0"/>
        <v>-160347</v>
      </c>
    </row>
    <row r="48" spans="1:4">
      <c r="A48" s="6"/>
      <c r="B48" s="2">
        <v>1448000</v>
      </c>
      <c r="C48" s="2"/>
      <c r="D48" s="17">
        <f t="shared" si="0"/>
        <v>1287653</v>
      </c>
    </row>
    <row r="49" spans="1:4">
      <c r="A49" s="16">
        <v>46194</v>
      </c>
      <c r="B49" s="2"/>
      <c r="C49" s="2">
        <v>462200</v>
      </c>
      <c r="D49" s="17">
        <f t="shared" si="0"/>
        <v>825453</v>
      </c>
    </row>
    <row r="50" spans="1:4">
      <c r="A50" s="6"/>
      <c r="B50" s="2">
        <v>705000</v>
      </c>
      <c r="C50" s="2"/>
      <c r="D50" s="17">
        <f t="shared" si="0"/>
        <v>1530453</v>
      </c>
    </row>
    <row r="51" spans="1:4">
      <c r="A51" s="6"/>
      <c r="B51" s="2">
        <v>837000</v>
      </c>
      <c r="C51" s="2"/>
      <c r="D51" s="17">
        <f t="shared" si="0"/>
        <v>2367453</v>
      </c>
    </row>
    <row r="52" spans="1:4">
      <c r="A52" s="6"/>
      <c r="B52" s="2">
        <v>1269000</v>
      </c>
      <c r="C52" s="2"/>
      <c r="D52" s="17">
        <f t="shared" si="0"/>
        <v>3636453</v>
      </c>
    </row>
    <row r="53" spans="1:4">
      <c r="A53" s="6"/>
      <c r="B53" s="2">
        <v>837000</v>
      </c>
      <c r="C53" s="2"/>
      <c r="D53" s="17">
        <f t="shared" si="0"/>
        <v>4473453</v>
      </c>
    </row>
    <row r="54" spans="1:4">
      <c r="A54" s="6"/>
      <c r="B54" s="2">
        <v>1495000</v>
      </c>
      <c r="C54" s="2"/>
      <c r="D54" s="17">
        <f t="shared" si="0"/>
        <v>5968453</v>
      </c>
    </row>
    <row r="55" spans="1:4">
      <c r="A55" s="6"/>
      <c r="B55" s="2"/>
      <c r="C55" s="2">
        <v>643000</v>
      </c>
      <c r="D55" s="17">
        <f t="shared" si="0"/>
        <v>5325453</v>
      </c>
    </row>
    <row r="56" spans="1:4">
      <c r="A56" s="6"/>
      <c r="B56" s="2">
        <v>800000</v>
      </c>
      <c r="C56" s="2"/>
      <c r="D56" s="17">
        <f t="shared" si="0"/>
        <v>6125453</v>
      </c>
    </row>
    <row r="57" spans="1:4">
      <c r="A57" s="6"/>
      <c r="B57" s="2">
        <v>140000</v>
      </c>
      <c r="C57" s="2"/>
      <c r="D57" s="17">
        <f t="shared" si="0"/>
        <v>6265453</v>
      </c>
    </row>
    <row r="58" spans="1:4">
      <c r="A58" s="16">
        <v>46212</v>
      </c>
      <c r="B58" s="2">
        <v>300000</v>
      </c>
      <c r="C58" s="2"/>
      <c r="D58" s="17">
        <f t="shared" si="0"/>
        <v>6565453</v>
      </c>
    </row>
    <row r="59" spans="1:4">
      <c r="A59" s="16">
        <v>46212</v>
      </c>
      <c r="B59" s="2"/>
      <c r="C59" s="2">
        <v>460000</v>
      </c>
      <c r="D59" s="17">
        <f t="shared" si="0"/>
        <v>6105453</v>
      </c>
    </row>
    <row r="60" spans="1:4">
      <c r="A60" s="6"/>
      <c r="B60" s="2"/>
      <c r="C60" s="2"/>
      <c r="D60" s="17"/>
    </row>
    <row r="61" spans="1:4">
      <c r="A61" s="6"/>
      <c r="B61" s="2"/>
      <c r="C61" s="2"/>
      <c r="D61" s="17"/>
    </row>
    <row r="62" spans="1:4">
      <c r="A62" s="6"/>
      <c r="B62" s="2"/>
      <c r="C62" s="2"/>
      <c r="D62" s="17"/>
    </row>
    <row r="63" spans="1:4">
      <c r="A63" s="6"/>
      <c r="B63" s="2"/>
      <c r="C63" s="2"/>
      <c r="D63" s="17"/>
    </row>
    <row r="64" spans="1:4">
      <c r="A64" s="6"/>
      <c r="B64" s="2"/>
      <c r="C64" s="2"/>
      <c r="D64" s="17"/>
    </row>
    <row r="65" spans="1:4">
      <c r="A65" s="6"/>
      <c r="B65" s="2"/>
      <c r="C65" s="2"/>
      <c r="D65" s="17"/>
    </row>
    <row r="66" spans="1:4">
      <c r="A66" s="6"/>
      <c r="B66" s="2"/>
      <c r="C66" s="2"/>
      <c r="D66" s="17"/>
    </row>
    <row r="67" spans="1:4">
      <c r="A67" s="6"/>
      <c r="B67" s="2"/>
      <c r="C67" s="2"/>
      <c r="D67" s="17"/>
    </row>
    <row r="68" spans="1:4">
      <c r="A68" s="6"/>
      <c r="B68" s="2"/>
      <c r="C68" s="2"/>
      <c r="D68" s="17"/>
    </row>
    <row r="69" spans="1:4">
      <c r="A69" s="6"/>
      <c r="B69" s="2"/>
      <c r="C69" s="2"/>
      <c r="D69" s="17"/>
    </row>
    <row r="70" spans="1:4">
      <c r="A70" s="6"/>
      <c r="B70" s="2"/>
      <c r="C70" s="2"/>
      <c r="D70" s="17"/>
    </row>
    <row r="71" spans="1:4">
      <c r="A71" s="6"/>
      <c r="B71" s="2"/>
      <c r="C71" s="2"/>
      <c r="D71" s="17"/>
    </row>
    <row r="72" spans="1:4">
      <c r="A72" s="6"/>
      <c r="B72" s="2"/>
      <c r="C72" s="2"/>
      <c r="D72" s="17"/>
    </row>
  </sheetData>
  <mergeCells count="3">
    <mergeCell ref="B1:C1"/>
    <mergeCell ref="A1:A2"/>
    <mergeCell ref="D1:D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>
      <selection activeCell="E15" sqref="E15"/>
    </sheetView>
  </sheetViews>
  <sheetFormatPr baseColWidth="10" defaultRowHeight="14.4"/>
  <cols>
    <col min="2" max="2" width="14.44140625" bestFit="1" customWidth="1"/>
    <col min="3" max="3" width="14.33203125" customWidth="1"/>
    <col min="4" max="4" width="12.88671875" bestFit="1" customWidth="1"/>
    <col min="5" max="5" width="15.44140625" bestFit="1" customWidth="1"/>
    <col min="6" max="6" width="12.77734375" bestFit="1" customWidth="1"/>
    <col min="7" max="7" width="11.77734375" bestFit="1" customWidth="1"/>
    <col min="8" max="10" width="12.77734375" bestFit="1" customWidth="1"/>
    <col min="15" max="15" width="55.21875" bestFit="1" customWidth="1"/>
  </cols>
  <sheetData>
    <row r="1" spans="1:17">
      <c r="A1" s="26" t="s">
        <v>15</v>
      </c>
      <c r="B1" s="26"/>
      <c r="C1" s="26"/>
      <c r="D1" s="26"/>
      <c r="E1" s="26"/>
    </row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7">
      <c r="A5" s="12">
        <v>46023</v>
      </c>
      <c r="B5" s="13">
        <f>F5+G5</f>
        <v>124197.78</v>
      </c>
      <c r="C5" s="13">
        <f>H5+I5+J5</f>
        <v>203938.3</v>
      </c>
      <c r="D5" s="13"/>
      <c r="E5" s="13">
        <f>B5+C5+D5</f>
        <v>328136.07999999996</v>
      </c>
      <c r="F5" s="3">
        <v>59827.96</v>
      </c>
      <c r="G5" s="3">
        <v>64369.82</v>
      </c>
      <c r="H5" s="3">
        <v>73366.289999999994</v>
      </c>
      <c r="I5" s="3">
        <v>31821.97</v>
      </c>
      <c r="J5" s="3">
        <v>98750.04</v>
      </c>
      <c r="O5" s="4" t="s">
        <v>16</v>
      </c>
      <c r="P5" s="4"/>
    </row>
    <row r="6" spans="1:17">
      <c r="A6" s="12">
        <v>46023</v>
      </c>
      <c r="B6" s="2">
        <f t="shared" ref="B6:B34" si="0">F6+G6</f>
        <v>126938.1</v>
      </c>
      <c r="C6" s="2">
        <f t="shared" ref="C6:C34" si="1">H6+I6+J6</f>
        <v>104377</v>
      </c>
      <c r="D6" s="2">
        <v>4600</v>
      </c>
      <c r="E6" s="2">
        <f>B6+C6+D6</f>
        <v>235915.1</v>
      </c>
      <c r="F6" s="3">
        <v>58280</v>
      </c>
      <c r="G6" s="3">
        <v>68658.100000000006</v>
      </c>
      <c r="H6" s="3">
        <v>24273</v>
      </c>
      <c r="I6" s="3">
        <v>4433</v>
      </c>
      <c r="J6" s="3">
        <v>75671</v>
      </c>
    </row>
    <row r="7" spans="1:17">
      <c r="A7" s="12">
        <v>46024</v>
      </c>
      <c r="B7" s="2">
        <f t="shared" si="0"/>
        <v>152703</v>
      </c>
      <c r="C7" s="2">
        <f t="shared" si="1"/>
        <v>195579</v>
      </c>
      <c r="D7" s="2">
        <v>3420</v>
      </c>
      <c r="E7" s="2">
        <f>B7+C7+D7</f>
        <v>351702</v>
      </c>
      <c r="F7" s="3">
        <v>75200</v>
      </c>
      <c r="G7" s="3">
        <v>77503</v>
      </c>
      <c r="H7" s="3">
        <v>95139</v>
      </c>
      <c r="I7" s="3">
        <v>66526</v>
      </c>
      <c r="J7" s="3">
        <v>33914</v>
      </c>
      <c r="O7" s="5" t="s">
        <v>10</v>
      </c>
      <c r="P7" s="5" t="s">
        <v>11</v>
      </c>
      <c r="Q7" s="5" t="s">
        <v>12</v>
      </c>
    </row>
    <row r="8" spans="1:17">
      <c r="A8" s="12">
        <v>46025</v>
      </c>
      <c r="B8" s="2">
        <f t="shared" si="0"/>
        <v>200502</v>
      </c>
      <c r="C8" s="2">
        <f t="shared" si="1"/>
        <v>41137</v>
      </c>
      <c r="D8" s="2">
        <v>51600</v>
      </c>
      <c r="E8" s="2">
        <f>B8+C8+D8</f>
        <v>293239</v>
      </c>
      <c r="F8" s="3">
        <v>181091</v>
      </c>
      <c r="G8" s="3">
        <v>19411</v>
      </c>
      <c r="H8" s="3">
        <v>15314</v>
      </c>
      <c r="I8" s="3">
        <v>25823</v>
      </c>
      <c r="J8" s="3"/>
      <c r="O8" s="6" t="s">
        <v>13</v>
      </c>
      <c r="P8" s="6">
        <v>170</v>
      </c>
      <c r="Q8" s="2">
        <v>29962.5</v>
      </c>
    </row>
    <row r="9" spans="1:17">
      <c r="A9" s="12">
        <v>46026</v>
      </c>
      <c r="B9" s="2">
        <f t="shared" si="0"/>
        <v>147392</v>
      </c>
      <c r="C9" s="2">
        <f t="shared" si="1"/>
        <v>186124</v>
      </c>
      <c r="D9" s="2">
        <v>46800</v>
      </c>
      <c r="E9" s="2">
        <f>B9+C9+D9</f>
        <v>380316</v>
      </c>
      <c r="F9" s="3">
        <v>72004</v>
      </c>
      <c r="G9" s="3">
        <v>75388</v>
      </c>
      <c r="H9" s="3">
        <v>84878</v>
      </c>
      <c r="I9" s="3">
        <v>1488</v>
      </c>
      <c r="J9" s="3">
        <v>99758</v>
      </c>
      <c r="O9" s="7" t="s">
        <v>14</v>
      </c>
      <c r="P9" s="6">
        <v>216</v>
      </c>
      <c r="Q9" s="2">
        <v>35100</v>
      </c>
    </row>
    <row r="10" spans="1:17">
      <c r="A10" s="12">
        <v>46027</v>
      </c>
      <c r="B10" s="2">
        <f t="shared" si="0"/>
        <v>105797</v>
      </c>
      <c r="C10" s="2">
        <f t="shared" si="1"/>
        <v>204817</v>
      </c>
      <c r="D10" s="2">
        <v>29600</v>
      </c>
      <c r="E10" s="2">
        <f>B10+C10+D10</f>
        <v>340214</v>
      </c>
      <c r="F10" s="3">
        <v>38446</v>
      </c>
      <c r="G10" s="3">
        <v>67351</v>
      </c>
      <c r="H10" s="3">
        <v>28396</v>
      </c>
      <c r="I10" s="3">
        <v>99510</v>
      </c>
      <c r="J10" s="3">
        <v>76911</v>
      </c>
    </row>
    <row r="11" spans="1:17">
      <c r="A11" s="12">
        <v>46028</v>
      </c>
      <c r="B11" s="2">
        <f t="shared" si="0"/>
        <v>101614</v>
      </c>
      <c r="C11" s="2">
        <f t="shared" si="1"/>
        <v>187581</v>
      </c>
      <c r="D11" s="2">
        <v>42200</v>
      </c>
      <c r="E11" s="2">
        <f>B11+C11+D11</f>
        <v>331395</v>
      </c>
      <c r="F11" s="3">
        <v>35109</v>
      </c>
      <c r="G11" s="3">
        <v>66505</v>
      </c>
      <c r="H11" s="3">
        <v>92535</v>
      </c>
      <c r="I11" s="3">
        <v>20336</v>
      </c>
      <c r="J11" s="3">
        <v>74710</v>
      </c>
    </row>
    <row r="12" spans="1:17">
      <c r="A12" s="12">
        <v>46029</v>
      </c>
      <c r="B12" s="2">
        <f t="shared" si="0"/>
        <v>108288</v>
      </c>
      <c r="C12" s="2">
        <f t="shared" si="1"/>
        <v>103695</v>
      </c>
      <c r="D12" s="2">
        <v>5320</v>
      </c>
      <c r="E12" s="2">
        <f>B12+C12+D12</f>
        <v>217303</v>
      </c>
      <c r="F12" s="8">
        <v>40373</v>
      </c>
      <c r="G12" s="3">
        <v>67915</v>
      </c>
      <c r="H12" s="3">
        <v>38037</v>
      </c>
      <c r="I12" s="3"/>
      <c r="J12" s="3">
        <v>65658</v>
      </c>
    </row>
    <row r="13" spans="1:17">
      <c r="A13" s="12">
        <v>46030</v>
      </c>
      <c r="B13" s="2">
        <f t="shared" si="0"/>
        <v>137381</v>
      </c>
      <c r="C13" s="2">
        <f t="shared" si="1"/>
        <v>119009</v>
      </c>
      <c r="D13" s="2">
        <v>28800</v>
      </c>
      <c r="E13" s="2">
        <f>B13+C13+D13</f>
        <v>285190</v>
      </c>
      <c r="F13" s="9">
        <v>74119</v>
      </c>
      <c r="G13" s="3">
        <v>63262</v>
      </c>
      <c r="H13" s="3">
        <v>34565</v>
      </c>
      <c r="I13" s="3">
        <v>12772</v>
      </c>
      <c r="J13" s="3">
        <v>71672</v>
      </c>
    </row>
    <row r="14" spans="1:17">
      <c r="A14" s="12">
        <v>46031</v>
      </c>
      <c r="B14" s="2">
        <f t="shared" si="0"/>
        <v>97525</v>
      </c>
      <c r="C14" s="2">
        <f t="shared" si="1"/>
        <v>102920</v>
      </c>
      <c r="D14" s="2">
        <v>13600</v>
      </c>
      <c r="E14" s="2">
        <f>B14+C14+D14</f>
        <v>214045</v>
      </c>
      <c r="F14" s="9">
        <v>39104</v>
      </c>
      <c r="G14" s="3">
        <v>58421</v>
      </c>
      <c r="H14" s="3">
        <v>13051</v>
      </c>
      <c r="I14" s="3">
        <v>28675</v>
      </c>
      <c r="J14" s="3">
        <v>61194</v>
      </c>
    </row>
    <row r="15" spans="1:17">
      <c r="A15" s="12">
        <v>46032</v>
      </c>
      <c r="B15" s="2">
        <f t="shared" si="0"/>
        <v>102930</v>
      </c>
      <c r="C15" s="2">
        <f t="shared" si="1"/>
        <v>187767</v>
      </c>
      <c r="D15" s="2">
        <v>31600</v>
      </c>
      <c r="E15" s="2">
        <f>B15+C15+D15</f>
        <v>322297</v>
      </c>
      <c r="F15" s="9">
        <v>42535</v>
      </c>
      <c r="G15" s="3">
        <v>60395</v>
      </c>
      <c r="H15" s="3">
        <v>46035</v>
      </c>
      <c r="I15" s="3">
        <v>78120</v>
      </c>
      <c r="J15" s="3">
        <v>63612</v>
      </c>
    </row>
    <row r="16" spans="1:17">
      <c r="A16" s="12">
        <v>46033</v>
      </c>
      <c r="B16" s="2">
        <f t="shared" si="0"/>
        <v>108523</v>
      </c>
      <c r="C16" s="2">
        <f t="shared" si="1"/>
        <v>151931</v>
      </c>
      <c r="D16" s="2">
        <v>24200</v>
      </c>
      <c r="E16" s="2">
        <f>B16+C16+D16</f>
        <v>284654</v>
      </c>
      <c r="F16" s="9">
        <v>49679</v>
      </c>
      <c r="G16" s="3">
        <v>58844</v>
      </c>
      <c r="H16" s="3">
        <v>52204</v>
      </c>
      <c r="I16" s="3">
        <v>15159</v>
      </c>
      <c r="J16" s="3">
        <v>84568</v>
      </c>
    </row>
    <row r="17" spans="1:10">
      <c r="A17" s="12">
        <v>46034</v>
      </c>
      <c r="B17" s="2">
        <f t="shared" si="0"/>
        <v>64437</v>
      </c>
      <c r="C17" s="2">
        <f t="shared" si="1"/>
        <v>171988</v>
      </c>
      <c r="D17" s="2">
        <v>36000</v>
      </c>
      <c r="E17" s="2">
        <f>B17+C17+D17</f>
        <v>272425</v>
      </c>
      <c r="F17" s="9">
        <v>64437</v>
      </c>
      <c r="G17" s="10"/>
      <c r="H17" s="3">
        <v>49011</v>
      </c>
      <c r="I17" s="3">
        <v>27311</v>
      </c>
      <c r="J17" s="3">
        <v>95666</v>
      </c>
    </row>
    <row r="18" spans="1:10">
      <c r="A18" s="12">
        <v>46035</v>
      </c>
      <c r="B18" s="2">
        <f t="shared" si="0"/>
        <v>46107</v>
      </c>
      <c r="C18" s="2">
        <f t="shared" si="1"/>
        <v>149668</v>
      </c>
      <c r="D18" s="2">
        <v>39800</v>
      </c>
      <c r="E18" s="2">
        <f>B18+C18+D18</f>
        <v>235575</v>
      </c>
      <c r="F18" s="9">
        <v>46107</v>
      </c>
      <c r="G18" s="9"/>
      <c r="H18" s="3">
        <v>55552</v>
      </c>
      <c r="I18" s="3">
        <v>4836</v>
      </c>
      <c r="J18" s="3">
        <v>89280</v>
      </c>
    </row>
    <row r="19" spans="1:10">
      <c r="A19" s="12">
        <v>46036</v>
      </c>
      <c r="B19" s="2">
        <f t="shared" si="0"/>
        <v>120602</v>
      </c>
      <c r="C19" s="2">
        <f t="shared" si="1"/>
        <v>121303</v>
      </c>
      <c r="D19" s="2">
        <v>24000</v>
      </c>
      <c r="E19" s="2">
        <f>B19+C19+D19</f>
        <v>265905</v>
      </c>
      <c r="F19" s="9">
        <v>55648</v>
      </c>
      <c r="G19" s="9">
        <v>64954</v>
      </c>
      <c r="H19" s="3">
        <v>48112</v>
      </c>
      <c r="I19" s="3">
        <v>11811</v>
      </c>
      <c r="J19" s="3">
        <v>61380</v>
      </c>
    </row>
    <row r="20" spans="1:10">
      <c r="A20" s="12">
        <v>46037</v>
      </c>
      <c r="B20" s="2">
        <f t="shared" si="0"/>
        <v>133151</v>
      </c>
      <c r="C20" s="2">
        <f t="shared" si="1"/>
        <v>165726</v>
      </c>
      <c r="D20" s="2">
        <v>49600</v>
      </c>
      <c r="E20" s="2">
        <f>B20+C20+D20</f>
        <v>348477</v>
      </c>
      <c r="F20" s="9">
        <v>58609</v>
      </c>
      <c r="G20" s="9">
        <v>74542</v>
      </c>
      <c r="H20" s="3">
        <v>43741</v>
      </c>
      <c r="I20" s="3">
        <v>30845</v>
      </c>
      <c r="J20" s="3">
        <v>91140</v>
      </c>
    </row>
    <row r="21" spans="1:10">
      <c r="A21" s="12">
        <v>46038</v>
      </c>
      <c r="B21" s="2">
        <f t="shared" si="0"/>
        <v>100627</v>
      </c>
      <c r="C21" s="2">
        <f t="shared" si="1"/>
        <v>104718</v>
      </c>
      <c r="D21" s="2">
        <v>49800</v>
      </c>
      <c r="E21" s="2">
        <f>B21+C21+D21</f>
        <v>255145</v>
      </c>
      <c r="F21" s="9">
        <v>49444</v>
      </c>
      <c r="G21" s="10">
        <v>51183</v>
      </c>
      <c r="H21" s="3">
        <v>33759</v>
      </c>
      <c r="I21" s="3">
        <v>5394</v>
      </c>
      <c r="J21" s="3">
        <v>65565</v>
      </c>
    </row>
    <row r="22" spans="1:10">
      <c r="A22" s="12">
        <v>46039</v>
      </c>
      <c r="B22" s="2">
        <f t="shared" si="0"/>
        <v>118440</v>
      </c>
      <c r="C22" s="2">
        <f t="shared" si="1"/>
        <v>162750</v>
      </c>
      <c r="D22" s="2">
        <v>48600</v>
      </c>
      <c r="E22" s="2">
        <f>B22+C22+D22</f>
        <v>329790</v>
      </c>
      <c r="F22" s="9">
        <v>46765</v>
      </c>
      <c r="G22" s="10">
        <v>71675</v>
      </c>
      <c r="H22" s="3">
        <v>49631</v>
      </c>
      <c r="I22" s="3">
        <v>12493</v>
      </c>
      <c r="J22" s="3">
        <v>100626</v>
      </c>
    </row>
    <row r="23" spans="1:10">
      <c r="A23" s="12">
        <v>46040</v>
      </c>
      <c r="B23" s="2">
        <f>F23+G23</f>
        <v>113129</v>
      </c>
      <c r="C23" s="2">
        <f>H23+I23+J23</f>
        <v>135687</v>
      </c>
      <c r="D23" s="2">
        <v>34600</v>
      </c>
      <c r="E23" s="2">
        <f>B23+C23+D23</f>
        <v>283416</v>
      </c>
      <c r="F23" s="9">
        <v>24581</v>
      </c>
      <c r="G23" s="9">
        <v>88548</v>
      </c>
      <c r="H23" s="3">
        <v>25141</v>
      </c>
      <c r="I23" s="3">
        <v>91140</v>
      </c>
      <c r="J23" s="3">
        <v>19406</v>
      </c>
    </row>
    <row r="24" spans="1:10">
      <c r="A24" s="12">
        <v>46041</v>
      </c>
      <c r="B24" s="2">
        <f>F24+G24</f>
        <v>73696</v>
      </c>
      <c r="C24" s="2">
        <f>H24+I24+J24</f>
        <v>214303</v>
      </c>
      <c r="D24" s="2">
        <v>42000</v>
      </c>
      <c r="E24" s="2">
        <f>B24+C24+D24</f>
        <v>329999</v>
      </c>
      <c r="F24" s="9">
        <v>0</v>
      </c>
      <c r="G24" s="9">
        <v>73696</v>
      </c>
      <c r="H24" s="3">
        <v>130293</v>
      </c>
      <c r="I24" s="3">
        <v>16988</v>
      </c>
      <c r="J24" s="3">
        <v>67022</v>
      </c>
    </row>
    <row r="25" spans="1:10">
      <c r="A25" s="12">
        <v>46042</v>
      </c>
      <c r="B25" s="2">
        <f>F25+G25</f>
        <v>60442</v>
      </c>
      <c r="C25" s="2">
        <f>H25+I25+J25</f>
        <v>143995</v>
      </c>
      <c r="D25" s="2">
        <v>21200</v>
      </c>
      <c r="E25" s="2">
        <f>B25+C25+D25</f>
        <v>225637</v>
      </c>
      <c r="F25" s="9">
        <v>24393</v>
      </c>
      <c r="G25" s="9">
        <v>36049</v>
      </c>
      <c r="H25" s="3">
        <v>46035</v>
      </c>
      <c r="I25" s="3">
        <v>10633</v>
      </c>
      <c r="J25" s="3">
        <v>87327</v>
      </c>
    </row>
    <row r="26" spans="1:10">
      <c r="A26" s="12">
        <v>46043</v>
      </c>
      <c r="B26" s="2">
        <f>F26+G26</f>
        <v>106408</v>
      </c>
      <c r="C26" s="2">
        <f>H26+I26+J26</f>
        <v>118110</v>
      </c>
      <c r="D26" s="2">
        <v>25000</v>
      </c>
      <c r="E26" s="2">
        <f>B26+C26+D26</f>
        <v>249518</v>
      </c>
      <c r="F26" s="9">
        <v>42911</v>
      </c>
      <c r="G26" s="9">
        <v>63497</v>
      </c>
      <c r="H26" s="3">
        <v>13020</v>
      </c>
      <c r="I26" s="3">
        <v>29884</v>
      </c>
      <c r="J26" s="3">
        <v>75206</v>
      </c>
    </row>
    <row r="27" spans="1:10">
      <c r="A27" s="12">
        <v>46044</v>
      </c>
      <c r="B27" s="2">
        <f t="shared" si="0"/>
        <v>97008</v>
      </c>
      <c r="C27" s="2">
        <f t="shared" si="1"/>
        <v>117831</v>
      </c>
      <c r="D27" s="2">
        <v>44400</v>
      </c>
      <c r="E27" s="2">
        <f>B27+C27+D27</f>
        <v>259239</v>
      </c>
      <c r="F27" s="9">
        <v>41266</v>
      </c>
      <c r="G27" s="9">
        <v>55742</v>
      </c>
      <c r="H27" s="3">
        <v>38223</v>
      </c>
      <c r="I27" s="3">
        <v>3441</v>
      </c>
      <c r="J27" s="3">
        <v>76167</v>
      </c>
    </row>
    <row r="28" spans="1:10">
      <c r="A28" s="12">
        <v>46045</v>
      </c>
      <c r="B28" s="2">
        <f t="shared" si="0"/>
        <v>104763</v>
      </c>
      <c r="C28" s="2">
        <f t="shared" si="1"/>
        <v>99169</v>
      </c>
      <c r="D28" s="2">
        <v>400</v>
      </c>
      <c r="E28" s="2">
        <f>B28+C28+D28</f>
        <v>204332</v>
      </c>
      <c r="F28" s="9">
        <v>40890</v>
      </c>
      <c r="G28" s="9">
        <v>63873</v>
      </c>
      <c r="H28" s="3">
        <v>33604</v>
      </c>
      <c r="I28" s="3">
        <v>5549</v>
      </c>
      <c r="J28" s="3">
        <v>60016</v>
      </c>
    </row>
    <row r="29" spans="1:10">
      <c r="A29" s="12">
        <v>46046</v>
      </c>
      <c r="B29" s="2">
        <f t="shared" si="0"/>
        <v>121589</v>
      </c>
      <c r="C29" s="2">
        <f t="shared" si="1"/>
        <v>144677</v>
      </c>
      <c r="D29" s="2">
        <v>23200</v>
      </c>
      <c r="E29" s="2">
        <f>B29+C29+D29</f>
        <v>289466</v>
      </c>
      <c r="F29" s="9">
        <v>54003</v>
      </c>
      <c r="G29" s="9">
        <v>67586</v>
      </c>
      <c r="H29" s="3">
        <v>21204</v>
      </c>
      <c r="I29" s="3">
        <v>22661</v>
      </c>
      <c r="J29" s="3">
        <v>100812</v>
      </c>
    </row>
    <row r="30" spans="1:10">
      <c r="A30" s="12">
        <v>46047</v>
      </c>
      <c r="B30" s="2">
        <f t="shared" si="0"/>
        <v>112847</v>
      </c>
      <c r="C30" s="2">
        <f t="shared" si="1"/>
        <v>164703</v>
      </c>
      <c r="D30" s="2">
        <v>26200</v>
      </c>
      <c r="E30" s="2">
        <f>B30+C30+D30</f>
        <v>303750</v>
      </c>
      <c r="F30" s="9">
        <v>68385</v>
      </c>
      <c r="G30" s="9">
        <v>44462</v>
      </c>
      <c r="H30" s="3">
        <v>55583</v>
      </c>
      <c r="I30" s="3">
        <v>9889</v>
      </c>
      <c r="J30" s="3">
        <v>99231</v>
      </c>
    </row>
    <row r="31" spans="1:10">
      <c r="A31" s="12">
        <v>46048</v>
      </c>
      <c r="B31" s="2">
        <f t="shared" si="0"/>
        <v>57716</v>
      </c>
      <c r="C31" s="2">
        <f t="shared" si="1"/>
        <v>121264</v>
      </c>
      <c r="D31" s="2">
        <v>40400</v>
      </c>
      <c r="E31" s="2">
        <f>B31+C31+D31</f>
        <v>219380</v>
      </c>
      <c r="F31" s="9">
        <v>57669</v>
      </c>
      <c r="G31" s="9">
        <v>47</v>
      </c>
      <c r="H31" s="3">
        <v>31612</v>
      </c>
      <c r="I31" s="3">
        <v>6851</v>
      </c>
      <c r="J31" s="3">
        <v>82801</v>
      </c>
    </row>
    <row r="32" spans="1:10">
      <c r="A32" s="12">
        <v>46049</v>
      </c>
      <c r="B32" s="2">
        <f t="shared" si="0"/>
        <v>91039</v>
      </c>
      <c r="C32" s="2">
        <f t="shared" si="1"/>
        <v>130820</v>
      </c>
      <c r="D32" s="2">
        <v>30400</v>
      </c>
      <c r="E32" s="2">
        <f>B32+C32+D32</f>
        <v>252259</v>
      </c>
      <c r="F32" s="9">
        <v>43992</v>
      </c>
      <c r="G32" s="9">
        <v>47047</v>
      </c>
      <c r="H32" s="3">
        <v>8990</v>
      </c>
      <c r="I32" s="3">
        <v>36921</v>
      </c>
      <c r="J32" s="3">
        <v>84909</v>
      </c>
    </row>
    <row r="33" spans="1:10">
      <c r="A33" s="12">
        <v>46050</v>
      </c>
      <c r="B33" s="2">
        <f t="shared" si="0"/>
        <v>83566</v>
      </c>
      <c r="C33" s="2">
        <f t="shared" si="1"/>
        <v>182497</v>
      </c>
      <c r="D33" s="2">
        <v>29800</v>
      </c>
      <c r="E33" s="2">
        <f>B33+C33+D33</f>
        <v>295863</v>
      </c>
      <c r="F33" s="9">
        <v>30550</v>
      </c>
      <c r="G33" s="9">
        <v>53016</v>
      </c>
      <c r="H33" s="3">
        <v>114390</v>
      </c>
      <c r="I33" s="3">
        <v>5673</v>
      </c>
      <c r="J33" s="3">
        <v>62434</v>
      </c>
    </row>
    <row r="34" spans="1:10">
      <c r="A34" s="12">
        <v>46051</v>
      </c>
      <c r="B34" s="2">
        <f t="shared" si="0"/>
        <v>108899</v>
      </c>
      <c r="C34" s="2">
        <f t="shared" si="1"/>
        <v>122171</v>
      </c>
      <c r="D34" s="2">
        <v>17800</v>
      </c>
      <c r="E34" s="2">
        <f>B34+C34+D34</f>
        <v>248870</v>
      </c>
      <c r="F34" s="9">
        <v>44133</v>
      </c>
      <c r="G34" s="9">
        <v>64766</v>
      </c>
      <c r="H34" s="3">
        <v>37355</v>
      </c>
      <c r="I34" s="3">
        <v>12648</v>
      </c>
      <c r="J34" s="3">
        <v>72168</v>
      </c>
    </row>
    <row r="35" spans="1:10">
      <c r="A35" s="12">
        <v>46052</v>
      </c>
      <c r="B35" s="2">
        <f>F35+G35</f>
        <v>116090</v>
      </c>
      <c r="C35" s="2">
        <f>H35+I35+J35</f>
        <v>117583</v>
      </c>
      <c r="D35" s="2">
        <v>18200</v>
      </c>
      <c r="E35" s="2">
        <f>B35+C35+D35</f>
        <v>251873</v>
      </c>
      <c r="F35" s="9">
        <v>48410</v>
      </c>
      <c r="G35" s="9">
        <v>67680</v>
      </c>
      <c r="H35" s="3">
        <v>19189</v>
      </c>
      <c r="I35" s="3">
        <v>34379</v>
      </c>
      <c r="J35" s="3">
        <v>64015</v>
      </c>
    </row>
    <row r="36" spans="1:10">
      <c r="A36" s="12">
        <v>46053</v>
      </c>
      <c r="B36" s="2">
        <f>F36+G36</f>
        <v>93530</v>
      </c>
      <c r="C36" s="2">
        <f>H36+I36+J36</f>
        <v>112375</v>
      </c>
      <c r="D36" s="2">
        <v>39200</v>
      </c>
      <c r="E36" s="2">
        <f>B36+C36+D36</f>
        <v>245105</v>
      </c>
      <c r="F36" s="9">
        <v>60254</v>
      </c>
      <c r="G36" s="9">
        <v>33276</v>
      </c>
      <c r="H36" s="3">
        <v>38564</v>
      </c>
      <c r="I36" s="3">
        <v>4867</v>
      </c>
      <c r="J36" s="3">
        <v>68944</v>
      </c>
    </row>
    <row r="37" spans="1:10">
      <c r="A37" s="5" t="s">
        <v>4</v>
      </c>
      <c r="B37" s="11">
        <f>SUM(B5:B36)</f>
        <v>3437876.88</v>
      </c>
      <c r="C37" s="11">
        <f>SUM(C5:C36)</f>
        <v>4590213.3</v>
      </c>
      <c r="D37" s="11">
        <f>SUM(D5:D36)</f>
        <v>922340</v>
      </c>
      <c r="E37" s="11">
        <f>SUM(E5:E36)</f>
        <v>8950430.1799999997</v>
      </c>
      <c r="F37" s="3"/>
      <c r="G37" s="3"/>
      <c r="H37" s="3"/>
      <c r="I37" s="3"/>
      <c r="J37" s="3"/>
    </row>
  </sheetData>
  <mergeCells count="1">
    <mergeCell ref="A1:E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3"/>
  <sheetViews>
    <sheetView workbookViewId="0">
      <selection activeCell="D2" sqref="D1:D1048576"/>
    </sheetView>
  </sheetViews>
  <sheetFormatPr baseColWidth="10" defaultRowHeight="14.4"/>
  <cols>
    <col min="2" max="2" width="15.44140625" bestFit="1" customWidth="1"/>
    <col min="3" max="3" width="14.21875" bestFit="1" customWidth="1"/>
    <col min="4" max="4" width="12.88671875" bestFit="1" customWidth="1"/>
    <col min="5" max="5" width="15.44140625" bestFit="1" customWidth="1"/>
    <col min="6" max="6" width="12.77734375" bestFit="1" customWidth="1"/>
    <col min="7" max="7" width="14.33203125" bestFit="1" customWidth="1"/>
    <col min="8" max="8" width="12.77734375" bestFit="1" customWidth="1"/>
    <col min="9" max="9" width="11.77734375" bestFit="1" customWidth="1"/>
    <col min="10" max="10" width="12.77734375" bestFit="1" customWidth="1"/>
    <col min="15" max="15" width="54.33203125" bestFit="1" customWidth="1"/>
    <col min="17" max="17" width="11.77734375" bestFit="1" customWidth="1"/>
  </cols>
  <sheetData>
    <row r="1" spans="1:17">
      <c r="A1" s="26" t="s">
        <v>17</v>
      </c>
      <c r="B1" s="26"/>
      <c r="C1" s="26"/>
      <c r="D1" s="26"/>
      <c r="E1" s="26"/>
    </row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7">
      <c r="A5" s="12">
        <v>46054</v>
      </c>
      <c r="B5" s="13">
        <f>F5+G5</f>
        <v>126007</v>
      </c>
      <c r="C5" s="13">
        <f>H5+I5+J5</f>
        <v>147725</v>
      </c>
      <c r="D5" s="13">
        <v>17600</v>
      </c>
      <c r="E5" s="13">
        <f>B5+C5+D5</f>
        <v>291332</v>
      </c>
      <c r="F5" s="3">
        <v>49068</v>
      </c>
      <c r="G5" s="3">
        <v>76939</v>
      </c>
      <c r="H5" s="3">
        <v>48060</v>
      </c>
      <c r="I5" s="3">
        <v>11842</v>
      </c>
      <c r="J5" s="3">
        <v>87823</v>
      </c>
      <c r="O5" s="4" t="s">
        <v>18</v>
      </c>
      <c r="P5" s="4"/>
    </row>
    <row r="6" spans="1:17">
      <c r="A6" s="12">
        <v>46055</v>
      </c>
      <c r="B6" s="2">
        <f t="shared" ref="B6:B32" si="0">F6+G6</f>
        <v>107066</v>
      </c>
      <c r="C6" s="2">
        <f t="shared" ref="C6:C32" si="1">H6+I6+J6</f>
        <v>133083</v>
      </c>
      <c r="D6" s="2">
        <v>4200</v>
      </c>
      <c r="E6" s="2">
        <f>B6+C6+D6</f>
        <v>244349</v>
      </c>
      <c r="F6" s="3">
        <v>47376</v>
      </c>
      <c r="G6" s="3">
        <v>59690</v>
      </c>
      <c r="H6" s="3">
        <v>16027</v>
      </c>
      <c r="I6" s="3">
        <v>33666</v>
      </c>
      <c r="J6" s="3">
        <v>83390</v>
      </c>
      <c r="O6" s="5" t="s">
        <v>10</v>
      </c>
      <c r="P6" s="5" t="s">
        <v>11</v>
      </c>
      <c r="Q6" s="5" t="s">
        <v>12</v>
      </c>
    </row>
    <row r="7" spans="1:17">
      <c r="A7" s="12">
        <v>46056</v>
      </c>
      <c r="B7" s="2">
        <f t="shared" si="0"/>
        <v>94517</v>
      </c>
      <c r="C7" s="2">
        <f t="shared" si="1"/>
        <v>162223</v>
      </c>
      <c r="D7" s="2">
        <v>31200</v>
      </c>
      <c r="E7" s="2">
        <f>B7+C7+D7</f>
        <v>287940</v>
      </c>
      <c r="F7" s="3">
        <v>40279</v>
      </c>
      <c r="G7" s="3">
        <v>54238</v>
      </c>
      <c r="H7" s="3">
        <v>52142</v>
      </c>
      <c r="I7" s="3">
        <v>7502</v>
      </c>
      <c r="J7" s="3">
        <v>102579</v>
      </c>
      <c r="O7" s="6" t="s">
        <v>13</v>
      </c>
      <c r="P7" s="6">
        <v>153</v>
      </c>
      <c r="Q7" s="2">
        <v>26966.25</v>
      </c>
    </row>
    <row r="8" spans="1:17">
      <c r="A8" s="12">
        <v>46057</v>
      </c>
      <c r="B8" s="2">
        <f t="shared" si="0"/>
        <v>108946</v>
      </c>
      <c r="C8" s="2">
        <f t="shared" si="1"/>
        <v>130417</v>
      </c>
      <c r="D8" s="2">
        <v>51200</v>
      </c>
      <c r="E8" s="2">
        <f>B8+C8+D8</f>
        <v>290563</v>
      </c>
      <c r="F8" s="3">
        <v>50149</v>
      </c>
      <c r="G8" s="3">
        <v>58797</v>
      </c>
      <c r="H8" s="3">
        <v>44609</v>
      </c>
      <c r="I8" s="3">
        <v>2821</v>
      </c>
      <c r="J8" s="3">
        <v>82987</v>
      </c>
      <c r="O8" s="7" t="s">
        <v>14</v>
      </c>
      <c r="P8" s="6">
        <v>192</v>
      </c>
      <c r="Q8" s="2">
        <v>31200</v>
      </c>
    </row>
    <row r="9" spans="1:17">
      <c r="A9" s="12">
        <v>46058</v>
      </c>
      <c r="B9" s="2">
        <f t="shared" si="0"/>
        <v>140013</v>
      </c>
      <c r="C9" s="2">
        <f t="shared" si="1"/>
        <v>165292</v>
      </c>
      <c r="D9" s="2">
        <v>22000</v>
      </c>
      <c r="E9" s="2">
        <f>B9+C9+D9</f>
        <v>327305</v>
      </c>
      <c r="F9" s="3">
        <v>50525</v>
      </c>
      <c r="G9" s="3">
        <v>89488</v>
      </c>
      <c r="H9" s="3">
        <v>21514</v>
      </c>
      <c r="I9" s="3">
        <v>41292</v>
      </c>
      <c r="J9" s="3">
        <v>102486</v>
      </c>
    </row>
    <row r="10" spans="1:17">
      <c r="A10" s="12">
        <v>46059</v>
      </c>
      <c r="B10" s="2">
        <f t="shared" si="0"/>
        <v>119239</v>
      </c>
      <c r="C10" s="2">
        <f t="shared" si="1"/>
        <v>149947</v>
      </c>
      <c r="D10" s="2">
        <v>14000</v>
      </c>
      <c r="E10" s="2">
        <f>B10+C10+D10</f>
        <v>283186</v>
      </c>
      <c r="F10" s="3">
        <v>60677</v>
      </c>
      <c r="G10" s="3">
        <v>58562</v>
      </c>
      <c r="H10" s="3">
        <v>38254</v>
      </c>
      <c r="I10" s="3">
        <v>17918</v>
      </c>
      <c r="J10" s="3">
        <v>93775</v>
      </c>
    </row>
    <row r="11" spans="1:17">
      <c r="A11" s="12">
        <v>46060</v>
      </c>
      <c r="B11" s="2">
        <f t="shared" si="0"/>
        <v>85211</v>
      </c>
      <c r="C11" s="2">
        <f t="shared" si="1"/>
        <v>175429</v>
      </c>
      <c r="D11" s="2">
        <v>27400</v>
      </c>
      <c r="E11" s="2">
        <f>B11+C11+D11</f>
        <v>288040</v>
      </c>
      <c r="F11" s="8">
        <v>85211</v>
      </c>
      <c r="G11" s="3"/>
      <c r="H11" s="3">
        <v>39029</v>
      </c>
      <c r="I11" s="3">
        <v>22382</v>
      </c>
      <c r="J11" s="3">
        <v>114018</v>
      </c>
    </row>
    <row r="12" spans="1:17">
      <c r="A12" s="12">
        <v>46061</v>
      </c>
      <c r="B12" s="2">
        <f t="shared" si="0"/>
        <v>104105</v>
      </c>
      <c r="C12" s="2">
        <f t="shared" si="1"/>
        <v>123876</v>
      </c>
      <c r="D12" s="2">
        <v>26400</v>
      </c>
      <c r="E12" s="2">
        <f>B12+C12+D12</f>
        <v>254381</v>
      </c>
      <c r="F12" s="9">
        <v>35626</v>
      </c>
      <c r="G12" s="3">
        <v>68479</v>
      </c>
      <c r="H12" s="3">
        <v>17329</v>
      </c>
      <c r="I12" s="3">
        <v>71548</v>
      </c>
      <c r="J12" s="3">
        <v>34999</v>
      </c>
    </row>
    <row r="13" spans="1:17">
      <c r="A13" s="12">
        <v>46062</v>
      </c>
      <c r="B13" s="2">
        <f t="shared" si="0"/>
        <v>111155</v>
      </c>
      <c r="C13" s="2">
        <f t="shared" si="1"/>
        <v>222921</v>
      </c>
      <c r="D13" s="2">
        <v>3140</v>
      </c>
      <c r="E13" s="2">
        <f>B13+C13+D13</f>
        <v>337216</v>
      </c>
      <c r="F13" s="9">
        <v>49820</v>
      </c>
      <c r="G13" s="3">
        <v>61335</v>
      </c>
      <c r="H13" s="3">
        <v>43865</v>
      </c>
      <c r="I13" s="3">
        <v>84010</v>
      </c>
      <c r="J13" s="3">
        <v>95046</v>
      </c>
    </row>
    <row r="14" spans="1:17">
      <c r="A14" s="12">
        <v>46063</v>
      </c>
      <c r="B14" s="2">
        <f t="shared" si="0"/>
        <v>125490</v>
      </c>
      <c r="C14" s="2">
        <f t="shared" si="1"/>
        <v>232500</v>
      </c>
      <c r="D14" s="2">
        <v>6800</v>
      </c>
      <c r="E14" s="2">
        <f>B14+C14+D14</f>
        <v>364790</v>
      </c>
      <c r="F14" s="9">
        <v>48692</v>
      </c>
      <c r="G14" s="3">
        <v>76798</v>
      </c>
      <c r="H14" s="3">
        <v>120497</v>
      </c>
      <c r="I14" s="3">
        <v>12400</v>
      </c>
      <c r="J14" s="3">
        <v>99603</v>
      </c>
    </row>
    <row r="15" spans="1:17">
      <c r="A15" s="12">
        <v>46064</v>
      </c>
      <c r="B15" s="2">
        <f t="shared" si="0"/>
        <v>114774</v>
      </c>
      <c r="C15" s="2">
        <f t="shared" si="1"/>
        <v>155527</v>
      </c>
      <c r="D15" s="2">
        <v>28400</v>
      </c>
      <c r="E15" s="2">
        <f>B15+C15+D15</f>
        <v>298701</v>
      </c>
      <c r="F15" s="9">
        <v>43569</v>
      </c>
      <c r="G15" s="3">
        <v>71205</v>
      </c>
      <c r="H15" s="3">
        <v>24800</v>
      </c>
      <c r="I15" s="3">
        <v>40145</v>
      </c>
      <c r="J15" s="3">
        <v>90582</v>
      </c>
    </row>
    <row r="16" spans="1:17">
      <c r="A16" s="12">
        <v>46065</v>
      </c>
      <c r="B16" s="2">
        <f t="shared" si="0"/>
        <v>153173</v>
      </c>
      <c r="C16" s="2">
        <f t="shared" si="1"/>
        <v>188852</v>
      </c>
      <c r="D16" s="2">
        <v>18000</v>
      </c>
      <c r="E16" s="2">
        <f>B16+C16+D16</f>
        <v>360025</v>
      </c>
      <c r="F16" s="9">
        <v>99123</v>
      </c>
      <c r="G16" s="10">
        <v>54050</v>
      </c>
      <c r="H16" s="3">
        <v>56575</v>
      </c>
      <c r="I16" s="3">
        <v>29853</v>
      </c>
      <c r="J16" s="3">
        <v>102424</v>
      </c>
    </row>
    <row r="17" spans="1:10">
      <c r="A17" s="12">
        <v>46066</v>
      </c>
      <c r="B17" s="2">
        <f t="shared" si="0"/>
        <v>109933</v>
      </c>
      <c r="C17" s="2">
        <f t="shared" si="1"/>
        <v>155062</v>
      </c>
      <c r="D17" s="2">
        <v>26800</v>
      </c>
      <c r="E17" s="2">
        <f>B17+C17+D17</f>
        <v>291795</v>
      </c>
      <c r="F17" s="9">
        <v>109933</v>
      </c>
      <c r="G17" s="9"/>
      <c r="H17" s="3">
        <v>52917</v>
      </c>
      <c r="I17" s="3">
        <v>92783</v>
      </c>
      <c r="J17" s="3">
        <v>9362</v>
      </c>
    </row>
    <row r="18" spans="1:10">
      <c r="A18" s="12">
        <v>46067</v>
      </c>
      <c r="B18" s="2">
        <f t="shared" si="0"/>
        <v>125678</v>
      </c>
      <c r="C18" s="2">
        <f t="shared" si="1"/>
        <v>152861</v>
      </c>
      <c r="D18" s="2">
        <v>25200</v>
      </c>
      <c r="E18" s="2">
        <f>B18+C18+D18</f>
        <v>303739</v>
      </c>
      <c r="F18" s="9">
        <v>66505</v>
      </c>
      <c r="G18" s="9">
        <v>59173</v>
      </c>
      <c r="H18" s="3">
        <v>24273</v>
      </c>
      <c r="I18" s="3">
        <v>31868</v>
      </c>
      <c r="J18" s="3">
        <v>96720</v>
      </c>
    </row>
    <row r="19" spans="1:10">
      <c r="A19" s="12">
        <v>46068</v>
      </c>
      <c r="B19" s="2">
        <f t="shared" si="0"/>
        <v>123986</v>
      </c>
      <c r="C19" s="2">
        <f t="shared" si="1"/>
        <v>141112</v>
      </c>
      <c r="D19" s="2">
        <v>38000</v>
      </c>
      <c r="E19" s="2">
        <f>B19+C19+D19</f>
        <v>303098</v>
      </c>
      <c r="F19" s="9">
        <v>57340</v>
      </c>
      <c r="G19" s="9">
        <v>66646</v>
      </c>
      <c r="H19" s="3">
        <v>28861</v>
      </c>
      <c r="I19" s="3">
        <v>12338</v>
      </c>
      <c r="J19" s="3">
        <v>99913</v>
      </c>
    </row>
    <row r="20" spans="1:10">
      <c r="A20" s="12">
        <v>46069</v>
      </c>
      <c r="B20" s="2">
        <f t="shared" si="0"/>
        <v>133903</v>
      </c>
      <c r="C20" s="2">
        <f t="shared" si="1"/>
        <v>156085</v>
      </c>
      <c r="D20" s="2">
        <v>30800</v>
      </c>
      <c r="E20" s="2">
        <f>B20+C20+D20</f>
        <v>320788</v>
      </c>
      <c r="F20" s="9">
        <v>52734</v>
      </c>
      <c r="G20" s="10">
        <v>81169</v>
      </c>
      <c r="H20" s="3">
        <v>46996</v>
      </c>
      <c r="I20" s="3">
        <v>16120</v>
      </c>
      <c r="J20" s="3">
        <v>92969</v>
      </c>
    </row>
    <row r="21" spans="1:10">
      <c r="A21" s="12">
        <v>46070</v>
      </c>
      <c r="B21" s="2">
        <f t="shared" si="0"/>
        <v>148614</v>
      </c>
      <c r="C21" s="2">
        <f t="shared" si="1"/>
        <v>205127</v>
      </c>
      <c r="D21" s="2">
        <v>33800</v>
      </c>
      <c r="E21" s="2">
        <f>B21+C21+D21</f>
        <v>387541</v>
      </c>
      <c r="F21" s="9">
        <v>57199</v>
      </c>
      <c r="G21" s="10">
        <v>91415</v>
      </c>
      <c r="H21" s="3">
        <v>55769</v>
      </c>
      <c r="I21" s="3">
        <v>42098</v>
      </c>
      <c r="J21" s="3">
        <v>107260</v>
      </c>
    </row>
    <row r="22" spans="1:10">
      <c r="A22" s="12">
        <v>46071</v>
      </c>
      <c r="B22" s="2">
        <f>F22+G22</f>
        <v>130378</v>
      </c>
      <c r="C22" s="2">
        <f>H22+I22+J22</f>
        <v>168113</v>
      </c>
      <c r="D22" s="2">
        <v>26200</v>
      </c>
      <c r="E22" s="2">
        <f>B22+C22+D22</f>
        <v>324691</v>
      </c>
      <c r="F22" s="9">
        <v>47094</v>
      </c>
      <c r="G22" s="9">
        <v>83284</v>
      </c>
      <c r="H22" s="3">
        <v>13888</v>
      </c>
      <c r="I22" s="3">
        <v>48329</v>
      </c>
      <c r="J22" s="3">
        <v>105896</v>
      </c>
    </row>
    <row r="23" spans="1:10">
      <c r="A23" s="12">
        <v>46072</v>
      </c>
      <c r="B23" s="2">
        <f>F23+G23</f>
        <v>99546</v>
      </c>
      <c r="C23" s="2">
        <f>H23+I23+J23</f>
        <v>128991</v>
      </c>
      <c r="D23" s="2">
        <v>27800</v>
      </c>
      <c r="E23" s="2">
        <f>B23+C23+D23</f>
        <v>256337</v>
      </c>
      <c r="F23" s="9">
        <v>49021</v>
      </c>
      <c r="G23" s="9">
        <v>50525</v>
      </c>
      <c r="H23" s="3"/>
      <c r="I23" s="3"/>
      <c r="J23" s="3">
        <v>128991</v>
      </c>
    </row>
    <row r="24" spans="1:10">
      <c r="A24" s="12">
        <v>46073</v>
      </c>
      <c r="B24" s="2">
        <f>F24+G24</f>
        <v>112142</v>
      </c>
      <c r="C24" s="2">
        <f>H24+I24+J24</f>
        <v>129704</v>
      </c>
      <c r="D24" s="2">
        <v>21200</v>
      </c>
      <c r="E24" s="2">
        <f>B24+C24+D24</f>
        <v>263046</v>
      </c>
      <c r="F24" s="9">
        <v>49021</v>
      </c>
      <c r="G24" s="9">
        <v>63121</v>
      </c>
      <c r="H24" s="3">
        <v>21948</v>
      </c>
      <c r="I24" s="3">
        <v>36363</v>
      </c>
      <c r="J24" s="3">
        <v>71393</v>
      </c>
    </row>
    <row r="25" spans="1:10">
      <c r="A25" s="12">
        <v>46074</v>
      </c>
      <c r="B25" s="2">
        <f>F25+G25</f>
        <v>126900</v>
      </c>
      <c r="C25" s="2">
        <f>H25+I25+J25</f>
        <v>146227</v>
      </c>
      <c r="D25" s="2">
        <v>42200</v>
      </c>
      <c r="E25" s="2">
        <f>B25+C25+D25</f>
        <v>315327</v>
      </c>
      <c r="F25" s="9">
        <v>44932</v>
      </c>
      <c r="G25" s="9">
        <v>81968</v>
      </c>
      <c r="H25" s="3">
        <v>26009</v>
      </c>
      <c r="I25" s="3">
        <v>38688</v>
      </c>
      <c r="J25" s="3">
        <v>81530</v>
      </c>
    </row>
    <row r="26" spans="1:10">
      <c r="A26" s="12">
        <v>46075</v>
      </c>
      <c r="B26" s="2">
        <f t="shared" si="0"/>
        <v>142081</v>
      </c>
      <c r="C26" s="2">
        <f t="shared" si="1"/>
        <v>159309</v>
      </c>
      <c r="D26" s="2">
        <v>25400</v>
      </c>
      <c r="E26" s="2">
        <f>B26+C26+D26</f>
        <v>326790</v>
      </c>
      <c r="F26" s="9">
        <v>57387</v>
      </c>
      <c r="G26" s="9">
        <v>84694</v>
      </c>
      <c r="H26" s="3">
        <v>48546</v>
      </c>
      <c r="I26" s="3">
        <v>10819</v>
      </c>
      <c r="J26" s="3">
        <v>99944</v>
      </c>
    </row>
    <row r="27" spans="1:10">
      <c r="A27" s="12">
        <v>46076</v>
      </c>
      <c r="B27" s="2">
        <f t="shared" si="0"/>
        <v>109275</v>
      </c>
      <c r="C27" s="2">
        <f t="shared" si="1"/>
        <v>138818</v>
      </c>
      <c r="D27" s="2">
        <v>21600</v>
      </c>
      <c r="E27" s="2">
        <f>B27+C27+D27</f>
        <v>269693</v>
      </c>
      <c r="F27" s="9">
        <v>109275</v>
      </c>
      <c r="G27" s="9">
        <v>0</v>
      </c>
      <c r="H27" s="3">
        <v>33666</v>
      </c>
      <c r="I27" s="3">
        <v>92969</v>
      </c>
      <c r="J27" s="3">
        <v>12183</v>
      </c>
    </row>
    <row r="28" spans="1:10">
      <c r="A28" s="12">
        <v>46077</v>
      </c>
      <c r="B28" s="2">
        <f t="shared" si="0"/>
        <v>10528</v>
      </c>
      <c r="C28" s="2">
        <f t="shared" si="1"/>
        <v>157666</v>
      </c>
      <c r="D28" s="2">
        <v>30200</v>
      </c>
      <c r="E28" s="2">
        <f>B28+C28+D28</f>
        <v>198394</v>
      </c>
      <c r="F28" s="9">
        <v>10528</v>
      </c>
      <c r="G28" s="9">
        <v>0</v>
      </c>
      <c r="H28" s="3">
        <v>116281</v>
      </c>
      <c r="I28" s="3">
        <v>41385</v>
      </c>
      <c r="J28" s="3">
        <v>0</v>
      </c>
    </row>
    <row r="29" spans="1:10">
      <c r="A29" s="12">
        <v>46078</v>
      </c>
      <c r="B29" s="2">
        <f t="shared" si="0"/>
        <v>142034</v>
      </c>
      <c r="C29" s="2">
        <f t="shared" si="1"/>
        <v>156519</v>
      </c>
      <c r="D29" s="2">
        <v>19000</v>
      </c>
      <c r="E29" s="2">
        <f>B29+C29+D29</f>
        <v>317553</v>
      </c>
      <c r="F29" s="9">
        <v>49538</v>
      </c>
      <c r="G29" s="9">
        <v>92496</v>
      </c>
      <c r="H29" s="3">
        <v>55366</v>
      </c>
      <c r="I29" s="3">
        <v>63798</v>
      </c>
      <c r="J29" s="3">
        <v>37355</v>
      </c>
    </row>
    <row r="30" spans="1:10">
      <c r="A30" s="12">
        <v>46079</v>
      </c>
      <c r="B30" s="2">
        <f t="shared" si="0"/>
        <v>133480</v>
      </c>
      <c r="C30" s="2">
        <f t="shared" si="1"/>
        <v>159154</v>
      </c>
      <c r="D30" s="2">
        <v>16000</v>
      </c>
      <c r="E30" s="2">
        <f>B30+C30+D30</f>
        <v>308634</v>
      </c>
      <c r="F30" s="9">
        <v>57528</v>
      </c>
      <c r="G30" s="9">
        <v>75952</v>
      </c>
      <c r="H30" s="3">
        <v>41726</v>
      </c>
      <c r="I30" s="3">
        <v>24428</v>
      </c>
      <c r="J30" s="3">
        <v>93000</v>
      </c>
    </row>
    <row r="31" spans="1:10">
      <c r="A31" s="12">
        <v>46080</v>
      </c>
      <c r="B31" s="2">
        <f t="shared" si="0"/>
        <v>88971</v>
      </c>
      <c r="C31" s="2">
        <f t="shared" si="1"/>
        <v>132525</v>
      </c>
      <c r="D31" s="2">
        <v>33000</v>
      </c>
      <c r="E31" s="2">
        <f>B31+C31+D31</f>
        <v>254496</v>
      </c>
      <c r="F31" s="9">
        <v>30221</v>
      </c>
      <c r="G31" s="9">
        <v>58750</v>
      </c>
      <c r="H31" s="3">
        <v>27838</v>
      </c>
      <c r="I31" s="3">
        <v>23064</v>
      </c>
      <c r="J31" s="3">
        <v>81623</v>
      </c>
    </row>
    <row r="32" spans="1:10">
      <c r="A32" s="12">
        <v>46081</v>
      </c>
      <c r="B32" s="2">
        <f t="shared" si="0"/>
        <v>137240</v>
      </c>
      <c r="C32" s="2">
        <f t="shared" si="1"/>
        <v>150815</v>
      </c>
      <c r="D32" s="2">
        <v>17000</v>
      </c>
      <c r="E32" s="2">
        <f>B32+C32+D32</f>
        <v>305055</v>
      </c>
      <c r="F32" s="9">
        <v>50337</v>
      </c>
      <c r="G32" s="9">
        <v>86903</v>
      </c>
      <c r="H32" s="3">
        <v>39711</v>
      </c>
      <c r="I32" s="3">
        <v>12431</v>
      </c>
      <c r="J32" s="3">
        <v>98673</v>
      </c>
    </row>
    <row r="33" spans="1:10">
      <c r="A33" s="5" t="s">
        <v>4</v>
      </c>
      <c r="B33" s="11">
        <f>SUM(B5:B32)</f>
        <v>3264385</v>
      </c>
      <c r="C33" s="11">
        <f>SUM(C5:C32)</f>
        <v>4425880</v>
      </c>
      <c r="D33" s="11">
        <f>SUM(D5:D32)</f>
        <v>684540</v>
      </c>
      <c r="E33" s="11">
        <f>SUM(E5:E32)</f>
        <v>8374805</v>
      </c>
      <c r="F33" s="3"/>
      <c r="G33" s="3"/>
      <c r="H33" s="3"/>
      <c r="I33" s="3"/>
      <c r="J33" s="3"/>
    </row>
  </sheetData>
  <mergeCells count="1">
    <mergeCell ref="A1:E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6"/>
  <sheetViews>
    <sheetView workbookViewId="0">
      <selection activeCell="D13" sqref="D13"/>
    </sheetView>
  </sheetViews>
  <sheetFormatPr baseColWidth="10" defaultRowHeight="14.4"/>
  <cols>
    <col min="1" max="1" width="11.6640625" bestFit="1" customWidth="1"/>
    <col min="2" max="2" width="14.5546875" bestFit="1" customWidth="1"/>
    <col min="3" max="3" width="14.44140625" customWidth="1"/>
    <col min="4" max="4" width="14.5546875" bestFit="1" customWidth="1"/>
    <col min="5" max="5" width="15.5546875" bestFit="1" customWidth="1"/>
    <col min="6" max="6" width="13.44140625" customWidth="1"/>
    <col min="7" max="7" width="13.44140625" bestFit="1" customWidth="1"/>
    <col min="8" max="8" width="13" customWidth="1"/>
    <col min="9" max="9" width="12.6640625" bestFit="1" customWidth="1"/>
    <col min="10" max="10" width="12.6640625" customWidth="1"/>
    <col min="15" max="15" width="53.6640625" bestFit="1" customWidth="1"/>
    <col min="16" max="16" width="11.6640625" bestFit="1" customWidth="1"/>
    <col min="17" max="17" width="11.77734375" bestFit="1" customWidth="1"/>
  </cols>
  <sheetData>
    <row r="1" spans="1:17">
      <c r="A1" s="26" t="s">
        <v>19</v>
      </c>
      <c r="B1" s="26"/>
      <c r="C1" s="26"/>
      <c r="D1" s="26"/>
      <c r="E1" s="26"/>
    </row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7">
      <c r="A5" s="12">
        <v>46082</v>
      </c>
      <c r="B5" s="13">
        <f>F5+G5</f>
        <v>112330</v>
      </c>
      <c r="C5" s="13">
        <f>H5+I5+J5</f>
        <v>166191</v>
      </c>
      <c r="D5" s="13">
        <v>20800</v>
      </c>
      <c r="E5" s="13">
        <f>B5+C5+D5</f>
        <v>299321</v>
      </c>
      <c r="F5" s="3">
        <v>47611</v>
      </c>
      <c r="G5" s="3">
        <v>64719</v>
      </c>
      <c r="H5" s="3">
        <v>43617</v>
      </c>
      <c r="I5" s="3">
        <v>35867</v>
      </c>
      <c r="J5" s="3">
        <v>86707</v>
      </c>
      <c r="O5" s="4" t="s">
        <v>20</v>
      </c>
      <c r="P5" s="4"/>
    </row>
    <row r="6" spans="1:17">
      <c r="A6" s="12">
        <v>46083</v>
      </c>
      <c r="B6" s="2">
        <f t="shared" ref="B6:B31" si="0">F6+G6</f>
        <v>149866</v>
      </c>
      <c r="C6" s="2">
        <f t="shared" ref="C6:C35" si="1">H6+I6+J6</f>
        <v>134540</v>
      </c>
      <c r="D6" s="2">
        <v>23200</v>
      </c>
      <c r="E6" s="2">
        <f>B6+C6+D6</f>
        <v>307606</v>
      </c>
      <c r="F6" s="3">
        <v>56477</v>
      </c>
      <c r="G6" s="3">
        <v>93389</v>
      </c>
      <c r="H6" s="3">
        <v>31248</v>
      </c>
      <c r="I6" s="3">
        <v>22878</v>
      </c>
      <c r="J6" s="3">
        <v>80414</v>
      </c>
      <c r="O6" s="5" t="s">
        <v>10</v>
      </c>
      <c r="P6" s="5" t="s">
        <v>11</v>
      </c>
      <c r="Q6" s="5" t="s">
        <v>12</v>
      </c>
    </row>
    <row r="7" spans="1:17">
      <c r="A7" s="12">
        <v>46084</v>
      </c>
      <c r="B7" s="2">
        <f t="shared" si="0"/>
        <v>470713</v>
      </c>
      <c r="C7" s="2">
        <f t="shared" si="1"/>
        <v>174499</v>
      </c>
      <c r="D7" s="2">
        <v>24000</v>
      </c>
      <c r="E7" s="2">
        <f>B7+C7+D7</f>
        <v>669212</v>
      </c>
      <c r="F7" s="3">
        <v>410788</v>
      </c>
      <c r="G7" s="3">
        <v>59925</v>
      </c>
      <c r="H7" s="3">
        <v>32457</v>
      </c>
      <c r="I7" s="3">
        <v>17019</v>
      </c>
      <c r="J7" s="3">
        <v>125023</v>
      </c>
      <c r="O7" s="6" t="s">
        <v>13</v>
      </c>
      <c r="P7" s="6">
        <v>187</v>
      </c>
      <c r="Q7" s="2">
        <v>32958.75</v>
      </c>
    </row>
    <row r="8" spans="1:17">
      <c r="A8" s="12">
        <v>46085</v>
      </c>
      <c r="B8" s="2">
        <f t="shared" si="0"/>
        <v>117970</v>
      </c>
      <c r="C8" s="2">
        <f t="shared" si="1"/>
        <v>160642</v>
      </c>
      <c r="D8" s="2">
        <v>13200</v>
      </c>
      <c r="E8" s="2">
        <f>B8+C8+D8</f>
        <v>291812</v>
      </c>
      <c r="F8" s="3">
        <v>48363</v>
      </c>
      <c r="G8" s="3">
        <v>69607</v>
      </c>
      <c r="H8" s="3">
        <v>39060</v>
      </c>
      <c r="I8" s="3">
        <v>36921</v>
      </c>
      <c r="J8" s="3">
        <v>84661</v>
      </c>
      <c r="O8" s="7" t="s">
        <v>14</v>
      </c>
      <c r="P8" s="6">
        <v>224</v>
      </c>
      <c r="Q8" s="2">
        <v>36400</v>
      </c>
    </row>
    <row r="9" spans="1:17">
      <c r="A9" s="12">
        <v>46086</v>
      </c>
      <c r="B9" s="2">
        <f t="shared" si="0"/>
        <v>111531</v>
      </c>
      <c r="C9" s="2">
        <f t="shared" si="1"/>
        <v>160580</v>
      </c>
      <c r="D9" s="2">
        <v>2300</v>
      </c>
      <c r="E9" s="2">
        <f>B9+C9+D9</f>
        <v>274411</v>
      </c>
      <c r="F9" s="3">
        <v>50525</v>
      </c>
      <c r="G9" s="3">
        <v>61006</v>
      </c>
      <c r="H9" s="3">
        <v>25265</v>
      </c>
      <c r="I9" s="3">
        <v>74927</v>
      </c>
      <c r="J9" s="3">
        <v>60388</v>
      </c>
    </row>
    <row r="10" spans="1:17">
      <c r="A10" s="12">
        <v>46087</v>
      </c>
      <c r="B10" s="2">
        <f t="shared" si="0"/>
        <v>106784</v>
      </c>
      <c r="C10" s="2">
        <f t="shared" si="1"/>
        <v>120776</v>
      </c>
      <c r="D10" s="2">
        <v>28600</v>
      </c>
      <c r="E10" s="2">
        <f>B10+C10+D10</f>
        <v>256160</v>
      </c>
      <c r="F10" s="3">
        <v>66693</v>
      </c>
      <c r="G10" s="3">
        <v>40091</v>
      </c>
      <c r="H10" s="3">
        <v>50840</v>
      </c>
      <c r="I10" s="3">
        <v>16058</v>
      </c>
      <c r="J10" s="3">
        <v>53878</v>
      </c>
    </row>
    <row r="11" spans="1:17">
      <c r="A11" s="12">
        <v>46088</v>
      </c>
      <c r="B11" s="2">
        <f t="shared" si="0"/>
        <v>137475</v>
      </c>
      <c r="C11" s="2">
        <f t="shared" si="1"/>
        <v>145421</v>
      </c>
      <c r="D11" s="2">
        <v>21800</v>
      </c>
      <c r="E11" s="2">
        <f>B11+C11+D11</f>
        <v>304696</v>
      </c>
      <c r="F11" s="8">
        <v>47705</v>
      </c>
      <c r="G11" s="3">
        <v>89770</v>
      </c>
      <c r="H11" s="3">
        <v>29884</v>
      </c>
      <c r="I11" s="3">
        <v>41075</v>
      </c>
      <c r="J11" s="3">
        <v>74462</v>
      </c>
    </row>
    <row r="12" spans="1:17">
      <c r="A12" s="12">
        <v>46089</v>
      </c>
      <c r="B12" s="2">
        <f t="shared" si="0"/>
        <v>122670</v>
      </c>
      <c r="C12" s="2">
        <f t="shared" si="1"/>
        <v>140120</v>
      </c>
      <c r="D12" s="2">
        <v>20800</v>
      </c>
      <c r="E12" s="2">
        <f>B12+C12+D12</f>
        <v>283590</v>
      </c>
      <c r="F12" s="9">
        <v>45167</v>
      </c>
      <c r="G12" s="3">
        <v>77503</v>
      </c>
      <c r="H12" s="3">
        <v>25575</v>
      </c>
      <c r="I12" s="3">
        <v>47151</v>
      </c>
      <c r="J12" s="3">
        <v>67394</v>
      </c>
    </row>
    <row r="13" spans="1:17">
      <c r="A13" s="12">
        <v>46090</v>
      </c>
      <c r="B13" s="2">
        <f t="shared" si="0"/>
        <v>118675</v>
      </c>
      <c r="C13" s="2">
        <f t="shared" si="1"/>
        <v>35126</v>
      </c>
      <c r="D13" s="2">
        <v>21200</v>
      </c>
      <c r="E13" s="2">
        <f>B13+C13+D13</f>
        <v>175001</v>
      </c>
      <c r="F13" s="9">
        <v>40655</v>
      </c>
      <c r="G13" s="3">
        <v>78020</v>
      </c>
      <c r="H13" s="3">
        <v>12090</v>
      </c>
      <c r="I13" s="3">
        <v>2201</v>
      </c>
      <c r="J13" s="3">
        <v>20835</v>
      </c>
    </row>
    <row r="14" spans="1:17">
      <c r="A14" s="12">
        <v>46091</v>
      </c>
      <c r="B14" s="2">
        <f t="shared" si="0"/>
        <v>108758</v>
      </c>
      <c r="C14" s="2">
        <f t="shared" si="1"/>
        <v>142879</v>
      </c>
      <c r="D14" s="2">
        <v>20200</v>
      </c>
      <c r="E14" s="2">
        <f>B14+C14+D14</f>
        <v>271837</v>
      </c>
      <c r="F14" s="9">
        <v>64907</v>
      </c>
      <c r="G14" s="3">
        <v>43851</v>
      </c>
      <c r="H14" s="3">
        <v>29946</v>
      </c>
      <c r="I14" s="3">
        <v>35185</v>
      </c>
      <c r="J14" s="3">
        <v>77748</v>
      </c>
    </row>
    <row r="15" spans="1:17">
      <c r="A15" s="12">
        <v>46092</v>
      </c>
      <c r="B15" s="2">
        <f t="shared" si="0"/>
        <v>99546</v>
      </c>
      <c r="C15" s="2">
        <f t="shared" si="1"/>
        <v>149544</v>
      </c>
      <c r="D15" s="2">
        <v>800</v>
      </c>
      <c r="E15" s="2">
        <f>B15+C15+D15</f>
        <v>249890</v>
      </c>
      <c r="F15" s="9">
        <v>99546</v>
      </c>
      <c r="G15" s="3"/>
      <c r="H15" s="3">
        <v>34224</v>
      </c>
      <c r="I15" s="3">
        <v>40238</v>
      </c>
      <c r="J15" s="3">
        <v>75082</v>
      </c>
    </row>
    <row r="16" spans="1:17">
      <c r="A16" s="12">
        <v>46093</v>
      </c>
      <c r="B16" s="2">
        <f t="shared" si="0"/>
        <v>138509</v>
      </c>
      <c r="C16" s="2">
        <f t="shared" si="1"/>
        <v>187271</v>
      </c>
      <c r="D16" s="2">
        <v>31400</v>
      </c>
      <c r="E16" s="2">
        <f>B16+C16+D16</f>
        <v>357180</v>
      </c>
      <c r="F16" s="9">
        <v>70641</v>
      </c>
      <c r="G16" s="10">
        <v>67868</v>
      </c>
      <c r="H16" s="3">
        <v>69657</v>
      </c>
      <c r="I16" s="3">
        <v>19189</v>
      </c>
      <c r="J16" s="3">
        <v>98425</v>
      </c>
    </row>
    <row r="17" spans="1:10">
      <c r="A17" s="12">
        <v>46094</v>
      </c>
      <c r="B17" s="2">
        <f t="shared" si="0"/>
        <v>122435</v>
      </c>
      <c r="C17" s="2">
        <f t="shared" si="1"/>
        <v>128557</v>
      </c>
      <c r="D17" s="2">
        <v>28000</v>
      </c>
      <c r="E17" s="2">
        <f>B17+C17+D17</f>
        <v>278992</v>
      </c>
      <c r="F17" s="9">
        <v>42206</v>
      </c>
      <c r="G17" s="9">
        <v>80229</v>
      </c>
      <c r="H17" s="3">
        <v>30504</v>
      </c>
      <c r="I17" s="3">
        <v>41199</v>
      </c>
      <c r="J17" s="3">
        <v>56854</v>
      </c>
    </row>
    <row r="18" spans="1:10">
      <c r="A18" s="12">
        <v>46095</v>
      </c>
      <c r="B18" s="2">
        <f t="shared" si="0"/>
        <v>125443</v>
      </c>
      <c r="C18" s="2">
        <f t="shared" si="1"/>
        <v>174871</v>
      </c>
      <c r="D18" s="2">
        <v>30000</v>
      </c>
      <c r="E18" s="2">
        <f>B18+C18+D18</f>
        <v>330314</v>
      </c>
      <c r="F18" s="9">
        <v>58280</v>
      </c>
      <c r="G18" s="9">
        <v>67163</v>
      </c>
      <c r="H18" s="3">
        <v>37634</v>
      </c>
      <c r="I18" s="3">
        <v>54157</v>
      </c>
      <c r="J18" s="3">
        <v>83080</v>
      </c>
    </row>
    <row r="19" spans="1:10">
      <c r="A19" s="12">
        <v>46096</v>
      </c>
      <c r="B19" s="2">
        <f t="shared" si="0"/>
        <v>110732</v>
      </c>
      <c r="C19" s="2">
        <f t="shared" si="1"/>
        <v>155465</v>
      </c>
      <c r="D19" s="2">
        <v>26200</v>
      </c>
      <c r="E19" s="2">
        <f>B19+C19+D19</f>
        <v>292397</v>
      </c>
      <c r="F19" s="9">
        <v>47470</v>
      </c>
      <c r="G19" s="9">
        <v>63262</v>
      </c>
      <c r="H19" s="3">
        <v>31682</v>
      </c>
      <c r="I19" s="3">
        <v>33108</v>
      </c>
      <c r="J19" s="3">
        <v>90675</v>
      </c>
    </row>
    <row r="20" spans="1:10">
      <c r="A20" s="12">
        <v>46097</v>
      </c>
      <c r="B20" s="2">
        <f t="shared" si="0"/>
        <v>129203</v>
      </c>
      <c r="C20" s="2">
        <f t="shared" si="1"/>
        <v>152303</v>
      </c>
      <c r="D20" s="2">
        <v>34400</v>
      </c>
      <c r="E20" s="2">
        <f>B20+C20+D20</f>
        <v>315906</v>
      </c>
      <c r="F20" s="9">
        <v>75858</v>
      </c>
      <c r="G20" s="10">
        <v>53345</v>
      </c>
      <c r="H20" s="3">
        <v>28489</v>
      </c>
      <c r="I20" s="3">
        <v>43090</v>
      </c>
      <c r="J20" s="3">
        <v>80724</v>
      </c>
    </row>
    <row r="21" spans="1:10">
      <c r="A21" s="12">
        <v>46098</v>
      </c>
      <c r="B21" s="2">
        <f t="shared" si="0"/>
        <v>170798</v>
      </c>
      <c r="C21" s="2">
        <f t="shared" si="1"/>
        <v>166222</v>
      </c>
      <c r="D21" s="2">
        <v>200</v>
      </c>
      <c r="E21" s="2">
        <f>B21+C21+D21</f>
        <v>337220</v>
      </c>
      <c r="F21" s="9">
        <v>74824</v>
      </c>
      <c r="G21" s="10">
        <v>95974</v>
      </c>
      <c r="H21" s="3">
        <v>20956</v>
      </c>
      <c r="I21" s="3">
        <v>52762</v>
      </c>
      <c r="J21" s="3">
        <v>92504</v>
      </c>
    </row>
    <row r="22" spans="1:10">
      <c r="A22" s="12">
        <v>46099</v>
      </c>
      <c r="B22" s="2">
        <f>F22+G22</f>
        <v>178365</v>
      </c>
      <c r="C22" s="2">
        <f>H22+I22+J22</f>
        <v>206057</v>
      </c>
      <c r="D22" s="2">
        <v>200</v>
      </c>
      <c r="E22" s="2">
        <f>B22+C22+D22</f>
        <v>384622</v>
      </c>
      <c r="F22" s="9">
        <v>64249</v>
      </c>
      <c r="G22" s="9">
        <v>114116</v>
      </c>
      <c r="H22" s="3">
        <v>70680</v>
      </c>
      <c r="I22" s="3">
        <v>17019</v>
      </c>
      <c r="J22" s="3">
        <v>118358</v>
      </c>
    </row>
    <row r="23" spans="1:10">
      <c r="A23" s="12">
        <v>46100</v>
      </c>
      <c r="B23" s="2">
        <f>F23+G23</f>
        <v>232650</v>
      </c>
      <c r="C23" s="2">
        <f>H23+I23+J23</f>
        <v>210397</v>
      </c>
      <c r="D23" s="2">
        <v>41600</v>
      </c>
      <c r="E23" s="2">
        <f>B23+C23+D23</f>
        <v>484647</v>
      </c>
      <c r="F23" s="9">
        <v>106784</v>
      </c>
      <c r="G23" s="9">
        <v>125866</v>
      </c>
      <c r="H23" s="3">
        <v>33945</v>
      </c>
      <c r="I23" s="3">
        <v>44361</v>
      </c>
      <c r="J23" s="3">
        <v>132091</v>
      </c>
    </row>
    <row r="24" spans="1:10">
      <c r="A24" s="12">
        <v>46101</v>
      </c>
      <c r="B24" s="2">
        <f>F24+G24</f>
        <v>158390</v>
      </c>
      <c r="C24" s="2">
        <f>H24+I24+J24</f>
        <v>119908</v>
      </c>
      <c r="D24" s="2">
        <v>400</v>
      </c>
      <c r="E24" s="2">
        <f>B24+C24+D24</f>
        <v>278698</v>
      </c>
      <c r="F24" s="9">
        <v>69748</v>
      </c>
      <c r="G24" s="9">
        <v>88642</v>
      </c>
      <c r="H24" s="3">
        <v>7502</v>
      </c>
      <c r="I24" s="3">
        <v>44950</v>
      </c>
      <c r="J24" s="3">
        <v>67456</v>
      </c>
    </row>
    <row r="25" spans="1:10">
      <c r="A25" s="12">
        <v>46102</v>
      </c>
      <c r="B25" s="2">
        <f>F25+G25</f>
        <v>180856</v>
      </c>
      <c r="C25" s="2">
        <f>H25+I25+J25</f>
        <v>135501</v>
      </c>
      <c r="D25" s="2">
        <v>23200</v>
      </c>
      <c r="E25" s="2">
        <f>B25+C25+D25</f>
        <v>339557</v>
      </c>
      <c r="F25" s="9">
        <v>97901</v>
      </c>
      <c r="G25" s="9">
        <v>82955</v>
      </c>
      <c r="H25" s="3">
        <v>19561</v>
      </c>
      <c r="I25" s="3">
        <v>15593</v>
      </c>
      <c r="J25" s="3">
        <v>100347</v>
      </c>
    </row>
    <row r="26" spans="1:10">
      <c r="A26" s="12">
        <v>46103</v>
      </c>
      <c r="B26" s="2">
        <f t="shared" si="0"/>
        <v>164829</v>
      </c>
      <c r="C26" s="2">
        <f t="shared" si="1"/>
        <v>124899</v>
      </c>
      <c r="D26" s="2">
        <v>24800</v>
      </c>
      <c r="E26" s="2">
        <f>B26+C26+D26</f>
        <v>314528</v>
      </c>
      <c r="F26" s="9">
        <v>64014</v>
      </c>
      <c r="G26" s="9">
        <v>100815</v>
      </c>
      <c r="H26" s="3">
        <v>16833</v>
      </c>
      <c r="I26" s="3">
        <v>36053</v>
      </c>
      <c r="J26" s="3">
        <v>72013</v>
      </c>
    </row>
    <row r="27" spans="1:10">
      <c r="A27" s="12">
        <v>46104</v>
      </c>
      <c r="B27" s="2">
        <f t="shared" si="0"/>
        <v>138791</v>
      </c>
      <c r="C27" s="2">
        <f t="shared" si="1"/>
        <v>194246</v>
      </c>
      <c r="D27" s="2">
        <v>28400</v>
      </c>
      <c r="E27" s="2">
        <f>B27+C27+D27</f>
        <v>361437</v>
      </c>
      <c r="F27" s="9">
        <v>83472</v>
      </c>
      <c r="G27" s="9">
        <v>55319</v>
      </c>
      <c r="H27" s="3">
        <v>40796</v>
      </c>
      <c r="I27" s="3">
        <v>55614</v>
      </c>
      <c r="J27" s="3">
        <v>97836</v>
      </c>
    </row>
    <row r="28" spans="1:10">
      <c r="A28" s="12">
        <v>46105</v>
      </c>
      <c r="B28" s="2">
        <f t="shared" si="0"/>
        <v>133950</v>
      </c>
      <c r="C28" s="2">
        <f t="shared" si="1"/>
        <v>191828</v>
      </c>
      <c r="D28" s="2">
        <v>30400</v>
      </c>
      <c r="E28" s="2">
        <f>B28+C28+D28</f>
        <v>356178</v>
      </c>
      <c r="F28" s="9">
        <v>133950</v>
      </c>
      <c r="G28" s="9"/>
      <c r="H28" s="3">
        <v>96999</v>
      </c>
      <c r="I28" s="3">
        <v>58249</v>
      </c>
      <c r="J28" s="3">
        <v>36580</v>
      </c>
    </row>
    <row r="29" spans="1:10">
      <c r="A29" s="12">
        <v>46106</v>
      </c>
      <c r="B29" s="2">
        <f t="shared" si="0"/>
        <v>139731</v>
      </c>
      <c r="C29" s="2">
        <f t="shared" si="1"/>
        <v>173414</v>
      </c>
      <c r="D29" s="2">
        <v>4400</v>
      </c>
      <c r="E29" s="2">
        <f>B29+C29+D29</f>
        <v>317545</v>
      </c>
      <c r="F29" s="9">
        <v>85681</v>
      </c>
      <c r="G29" s="9">
        <v>54050</v>
      </c>
      <c r="H29" s="3">
        <v>11904</v>
      </c>
      <c r="I29" s="3">
        <v>35836</v>
      </c>
      <c r="J29" s="3">
        <v>125674</v>
      </c>
    </row>
    <row r="30" spans="1:10">
      <c r="A30" s="12">
        <v>46107</v>
      </c>
      <c r="B30" s="2">
        <f t="shared" si="0"/>
        <v>159330</v>
      </c>
      <c r="C30" s="2">
        <f t="shared" si="1"/>
        <v>211327</v>
      </c>
      <c r="D30" s="2">
        <v>31200</v>
      </c>
      <c r="E30" s="2">
        <f>B30+C30+D30</f>
        <v>401857</v>
      </c>
      <c r="F30" s="9">
        <v>67821</v>
      </c>
      <c r="G30" s="9">
        <v>91509</v>
      </c>
      <c r="H30" s="3">
        <v>15407</v>
      </c>
      <c r="I30" s="3">
        <v>27838</v>
      </c>
      <c r="J30" s="3">
        <v>168082</v>
      </c>
    </row>
    <row r="31" spans="1:10">
      <c r="A31" s="12">
        <v>46108</v>
      </c>
      <c r="B31" s="2">
        <f t="shared" si="0"/>
        <v>141423</v>
      </c>
      <c r="C31" s="2">
        <f t="shared" si="1"/>
        <v>131998</v>
      </c>
      <c r="D31" s="2">
        <v>21200</v>
      </c>
      <c r="E31" s="2">
        <f>B31+C31+D31</f>
        <v>294621</v>
      </c>
      <c r="F31" s="9">
        <v>76939</v>
      </c>
      <c r="G31" s="9">
        <v>64484</v>
      </c>
      <c r="H31" s="3">
        <v>24831</v>
      </c>
      <c r="I31" s="3">
        <v>13113</v>
      </c>
      <c r="J31" s="3">
        <v>94054</v>
      </c>
    </row>
    <row r="32" spans="1:10">
      <c r="A32" s="12">
        <v>46109</v>
      </c>
      <c r="B32" s="2">
        <f>F32+G32</f>
        <v>189645</v>
      </c>
      <c r="C32" s="2">
        <f t="shared" si="1"/>
        <v>210583</v>
      </c>
      <c r="D32" s="2">
        <v>31200</v>
      </c>
      <c r="E32" s="2">
        <f>B32+C32+D32</f>
        <v>431428</v>
      </c>
      <c r="F32" s="9">
        <v>81827</v>
      </c>
      <c r="G32" s="9">
        <v>107818</v>
      </c>
      <c r="H32" s="3">
        <v>43555</v>
      </c>
      <c r="I32" s="3">
        <v>45446</v>
      </c>
      <c r="J32" s="3">
        <v>121582</v>
      </c>
    </row>
    <row r="33" spans="1:10">
      <c r="A33" s="12">
        <v>46110</v>
      </c>
      <c r="B33" s="2">
        <f>F33+G33</f>
        <v>117829</v>
      </c>
      <c r="C33" s="2">
        <f t="shared" si="1"/>
        <v>146599</v>
      </c>
      <c r="D33" s="2">
        <v>36600</v>
      </c>
      <c r="E33" s="2">
        <f>B33+C33+D33</f>
        <v>301028</v>
      </c>
      <c r="F33" s="3">
        <v>82015</v>
      </c>
      <c r="G33" s="3">
        <v>35814</v>
      </c>
      <c r="H33" s="3">
        <v>21855</v>
      </c>
      <c r="I33" s="3">
        <v>55738</v>
      </c>
      <c r="J33" s="3">
        <v>69006</v>
      </c>
    </row>
    <row r="34" spans="1:10">
      <c r="A34" s="12">
        <v>46111</v>
      </c>
      <c r="B34" s="2">
        <f>F34+G34</f>
        <v>133480</v>
      </c>
      <c r="C34" s="2">
        <f t="shared" si="1"/>
        <v>158844</v>
      </c>
      <c r="D34" s="2">
        <v>21200</v>
      </c>
      <c r="E34" s="2">
        <f>B34+C34+D34</f>
        <v>313524</v>
      </c>
      <c r="F34" s="3">
        <v>52358</v>
      </c>
      <c r="G34" s="3">
        <v>81122</v>
      </c>
      <c r="H34" s="3">
        <v>110949</v>
      </c>
      <c r="I34" s="3">
        <v>34317</v>
      </c>
      <c r="J34" s="3">
        <v>13578</v>
      </c>
    </row>
    <row r="35" spans="1:10">
      <c r="A35" s="12">
        <v>46112</v>
      </c>
      <c r="B35" s="2">
        <f>F35+G35</f>
        <v>118346</v>
      </c>
      <c r="C35" s="2">
        <f t="shared" si="1"/>
        <v>152861</v>
      </c>
      <c r="D35" s="2">
        <v>45000</v>
      </c>
      <c r="E35" s="2">
        <f>B35+C35+D35</f>
        <v>316207</v>
      </c>
      <c r="F35" s="3">
        <v>0</v>
      </c>
      <c r="G35" s="3">
        <v>118346</v>
      </c>
      <c r="H35" s="3">
        <v>35526</v>
      </c>
      <c r="I35" s="3">
        <v>29884</v>
      </c>
      <c r="J35" s="3">
        <v>87451</v>
      </c>
    </row>
    <row r="36" spans="1:10">
      <c r="A36" t="s">
        <v>4</v>
      </c>
      <c r="B36" s="11">
        <f>SUM(B5:B35)</f>
        <v>4641053</v>
      </c>
      <c r="C36" s="11">
        <f>SUM(C5:C35)</f>
        <v>4863469</v>
      </c>
      <c r="D36" s="11">
        <f>SUM(D5:D35)</f>
        <v>686900</v>
      </c>
      <c r="E36" s="11">
        <f>SUM(E5:E35)</f>
        <v>10191422</v>
      </c>
    </row>
  </sheetData>
  <mergeCells count="1">
    <mergeCell ref="A1:E1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5"/>
  <sheetViews>
    <sheetView workbookViewId="0">
      <selection activeCell="D12" sqref="D12"/>
    </sheetView>
  </sheetViews>
  <sheetFormatPr baseColWidth="10" defaultRowHeight="14.4"/>
  <cols>
    <col min="2" max="3" width="14.44140625" bestFit="1" customWidth="1"/>
    <col min="4" max="4" width="12.88671875" bestFit="1" customWidth="1"/>
    <col min="5" max="5" width="15.44140625" bestFit="1" customWidth="1"/>
    <col min="6" max="10" width="12.77734375" bestFit="1" customWidth="1"/>
  </cols>
  <sheetData>
    <row r="1" spans="1:17">
      <c r="A1" s="26" t="s">
        <v>21</v>
      </c>
      <c r="B1" s="26"/>
      <c r="C1" s="26"/>
      <c r="D1" s="26"/>
      <c r="E1" s="26"/>
    </row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7">
      <c r="A5" s="12">
        <v>46113</v>
      </c>
      <c r="B5" s="13">
        <f>F5+G5</f>
        <v>107395</v>
      </c>
      <c r="C5" s="13">
        <f>H5+I5+J5</f>
        <v>260524</v>
      </c>
      <c r="D5" s="13">
        <v>14000</v>
      </c>
      <c r="E5" s="13">
        <f>B5+C5+D5</f>
        <v>381919</v>
      </c>
      <c r="F5" s="3">
        <v>0</v>
      </c>
      <c r="G5" s="3">
        <v>107395</v>
      </c>
      <c r="H5" s="3">
        <v>103013</v>
      </c>
      <c r="I5" s="3">
        <v>47740</v>
      </c>
      <c r="J5" s="3">
        <v>109771</v>
      </c>
      <c r="O5" s="4" t="s">
        <v>20</v>
      </c>
      <c r="P5" s="4"/>
    </row>
    <row r="6" spans="1:17">
      <c r="A6" s="12">
        <v>46114</v>
      </c>
      <c r="B6" s="2">
        <f t="shared" ref="B6:B31" si="0">F6+G6</f>
        <v>139684</v>
      </c>
      <c r="C6" s="2">
        <f t="shared" ref="C6:C34" si="1">H6+I6+J6</f>
        <v>170593</v>
      </c>
      <c r="D6" s="2">
        <v>41600</v>
      </c>
      <c r="E6" s="2">
        <f>B6+C6+D6</f>
        <v>351877</v>
      </c>
      <c r="F6" s="3">
        <v>139684</v>
      </c>
      <c r="G6" s="3"/>
      <c r="H6" s="3">
        <v>39680</v>
      </c>
      <c r="I6" s="3">
        <v>12803</v>
      </c>
      <c r="J6" s="3">
        <v>118110</v>
      </c>
      <c r="O6" s="5" t="s">
        <v>10</v>
      </c>
      <c r="P6" s="5" t="s">
        <v>11</v>
      </c>
      <c r="Q6" s="5" t="s">
        <v>12</v>
      </c>
    </row>
    <row r="7" spans="1:17">
      <c r="A7" s="12">
        <v>46115</v>
      </c>
      <c r="B7" s="2">
        <f t="shared" si="0"/>
        <v>141282</v>
      </c>
      <c r="C7" s="2">
        <f t="shared" si="1"/>
        <v>53298</v>
      </c>
      <c r="D7" s="2">
        <v>31600</v>
      </c>
      <c r="E7" s="2">
        <f>B7+C7+D7</f>
        <v>226180</v>
      </c>
      <c r="F7" s="3">
        <v>141282</v>
      </c>
      <c r="G7" s="3"/>
      <c r="H7" s="3">
        <v>18166</v>
      </c>
      <c r="I7" s="3">
        <v>26660</v>
      </c>
      <c r="J7" s="3">
        <v>8472</v>
      </c>
      <c r="O7" s="6" t="s">
        <v>13</v>
      </c>
      <c r="P7" s="6">
        <v>187</v>
      </c>
      <c r="Q7" s="2">
        <v>32958.75</v>
      </c>
    </row>
    <row r="8" spans="1:17">
      <c r="A8" s="12">
        <v>46116</v>
      </c>
      <c r="B8" s="2">
        <f t="shared" si="0"/>
        <v>151528</v>
      </c>
      <c r="C8" s="2">
        <f t="shared" si="1"/>
        <v>194959</v>
      </c>
      <c r="D8" s="2">
        <v>16800</v>
      </c>
      <c r="E8" s="2">
        <f>B8+C8+D8</f>
        <v>363287</v>
      </c>
      <c r="F8" s="3">
        <v>151528</v>
      </c>
      <c r="G8" s="3"/>
      <c r="H8" s="3">
        <v>33201</v>
      </c>
      <c r="I8" s="3">
        <v>151435</v>
      </c>
      <c r="J8" s="3">
        <v>10323</v>
      </c>
      <c r="O8" s="7" t="s">
        <v>14</v>
      </c>
      <c r="P8" s="6">
        <v>224</v>
      </c>
      <c r="Q8" s="2">
        <v>36400</v>
      </c>
    </row>
    <row r="9" spans="1:17">
      <c r="A9" s="12">
        <v>46117</v>
      </c>
      <c r="B9" s="2">
        <f t="shared" si="0"/>
        <v>126806</v>
      </c>
      <c r="C9" s="2">
        <f t="shared" si="1"/>
        <v>212846</v>
      </c>
      <c r="D9" s="2">
        <v>21400</v>
      </c>
      <c r="E9" s="2">
        <f>B9+C9+D9</f>
        <v>361052</v>
      </c>
      <c r="F9" s="3">
        <v>126806</v>
      </c>
      <c r="G9" s="3"/>
      <c r="H9" s="3">
        <v>27714</v>
      </c>
      <c r="I9" s="3">
        <v>9517</v>
      </c>
      <c r="J9" s="3">
        <v>175615</v>
      </c>
    </row>
    <row r="10" spans="1:17">
      <c r="A10" s="12">
        <v>46118</v>
      </c>
      <c r="B10" s="2">
        <f t="shared" si="0"/>
        <v>145183</v>
      </c>
      <c r="C10" s="2">
        <f t="shared" si="1"/>
        <v>201872</v>
      </c>
      <c r="D10" s="2">
        <v>14400</v>
      </c>
      <c r="E10" s="2">
        <f>B10+C10+D10</f>
        <v>361455</v>
      </c>
      <c r="F10" s="3">
        <v>145183</v>
      </c>
      <c r="G10" s="3"/>
      <c r="H10" s="3"/>
      <c r="I10" s="3"/>
      <c r="J10" s="3">
        <v>201872</v>
      </c>
    </row>
    <row r="11" spans="1:17">
      <c r="A11" s="12">
        <v>46119</v>
      </c>
      <c r="B11" s="2">
        <f t="shared" si="0"/>
        <v>139543</v>
      </c>
      <c r="C11" s="2">
        <f t="shared" si="1"/>
        <v>158069</v>
      </c>
      <c r="D11" s="2">
        <v>10600</v>
      </c>
      <c r="E11" s="2">
        <f>B11+C11+D11</f>
        <v>308212</v>
      </c>
      <c r="F11" s="8">
        <v>139543</v>
      </c>
      <c r="G11" s="3"/>
      <c r="H11" s="3"/>
      <c r="I11" s="3">
        <v>11067</v>
      </c>
      <c r="J11" s="3">
        <v>147002</v>
      </c>
    </row>
    <row r="12" spans="1:17">
      <c r="A12" s="12">
        <v>46120</v>
      </c>
      <c r="B12" s="2">
        <f t="shared" si="0"/>
        <v>128310</v>
      </c>
      <c r="C12" s="2">
        <f t="shared" si="1"/>
        <v>195672</v>
      </c>
      <c r="D12" s="2">
        <v>10800</v>
      </c>
      <c r="E12" s="2">
        <f>B12+C12+D12</f>
        <v>334782</v>
      </c>
      <c r="F12" s="9">
        <v>63168</v>
      </c>
      <c r="G12" s="3">
        <v>65142</v>
      </c>
      <c r="H12" s="3">
        <v>61907</v>
      </c>
      <c r="I12" s="3">
        <v>58218</v>
      </c>
      <c r="J12" s="3">
        <v>75547</v>
      </c>
    </row>
    <row r="13" spans="1:17">
      <c r="A13" s="12">
        <v>46121</v>
      </c>
      <c r="B13" s="2">
        <f t="shared" si="0"/>
        <v>147110</v>
      </c>
      <c r="C13" s="2">
        <f t="shared" si="1"/>
        <v>179924</v>
      </c>
      <c r="D13" s="2">
        <v>16600</v>
      </c>
      <c r="E13" s="2">
        <f>B13+C13+D13</f>
        <v>343634</v>
      </c>
      <c r="F13" s="9"/>
      <c r="G13" s="3">
        <v>147110</v>
      </c>
      <c r="H13" s="3">
        <v>41974</v>
      </c>
      <c r="I13" s="3">
        <v>21421</v>
      </c>
      <c r="J13" s="3">
        <v>116529</v>
      </c>
    </row>
    <row r="14" spans="1:17">
      <c r="A14" s="12">
        <v>46122</v>
      </c>
      <c r="B14" s="2">
        <f>F14+G14</f>
        <v>123281</v>
      </c>
      <c r="C14" s="2">
        <f>H14+I14+J14</f>
        <v>142724</v>
      </c>
      <c r="D14" s="2">
        <v>14200</v>
      </c>
      <c r="E14" s="2">
        <f>B14+C14+D14</f>
        <v>280205</v>
      </c>
      <c r="F14" s="9"/>
      <c r="G14" s="3">
        <v>123281</v>
      </c>
      <c r="H14" s="3">
        <v>16554</v>
      </c>
      <c r="I14" s="3">
        <v>36890</v>
      </c>
      <c r="J14" s="3">
        <v>89280</v>
      </c>
    </row>
    <row r="15" spans="1:17">
      <c r="A15" s="12">
        <v>46123</v>
      </c>
      <c r="B15" s="2">
        <f t="shared" si="0"/>
        <v>138321</v>
      </c>
      <c r="C15" s="2">
        <f t="shared" si="1"/>
        <v>203050</v>
      </c>
      <c r="D15" s="2">
        <v>13200</v>
      </c>
      <c r="E15" s="2">
        <f>B15+C15+D15</f>
        <v>354571</v>
      </c>
      <c r="F15" s="9"/>
      <c r="G15" s="3">
        <v>138321</v>
      </c>
      <c r="H15" s="3">
        <v>75640</v>
      </c>
      <c r="I15" s="3">
        <v>16275</v>
      </c>
      <c r="J15" s="3">
        <v>111135</v>
      </c>
    </row>
    <row r="16" spans="1:17">
      <c r="A16" s="12">
        <v>46124</v>
      </c>
      <c r="B16" s="2">
        <f t="shared" si="0"/>
        <v>122388</v>
      </c>
      <c r="C16" s="2">
        <f t="shared" si="1"/>
        <v>162409</v>
      </c>
      <c r="D16" s="2">
        <v>18600</v>
      </c>
      <c r="E16" s="2">
        <f>B16+C16+D16</f>
        <v>303397</v>
      </c>
      <c r="F16" s="9"/>
      <c r="G16" s="10">
        <v>122388</v>
      </c>
      <c r="H16" s="3">
        <v>23126</v>
      </c>
      <c r="I16" s="3">
        <v>31682</v>
      </c>
      <c r="J16" s="3">
        <v>107601</v>
      </c>
    </row>
    <row r="17" spans="1:10">
      <c r="A17" s="12">
        <v>46125</v>
      </c>
      <c r="B17" s="2">
        <f t="shared" si="0"/>
        <v>112283</v>
      </c>
      <c r="C17" s="2">
        <f t="shared" si="1"/>
        <v>142476</v>
      </c>
      <c r="D17" s="2">
        <v>20800</v>
      </c>
      <c r="E17" s="2">
        <f>B17+C17+D17</f>
        <v>275559</v>
      </c>
      <c r="F17" s="9"/>
      <c r="G17" s="9">
        <v>112283</v>
      </c>
      <c r="H17" s="3">
        <v>11408</v>
      </c>
      <c r="I17" s="3">
        <v>35402</v>
      </c>
      <c r="J17" s="3">
        <v>95666</v>
      </c>
    </row>
    <row r="18" spans="1:10">
      <c r="A18" s="12">
        <v>46126</v>
      </c>
      <c r="B18" s="2">
        <f t="shared" si="0"/>
        <v>118252</v>
      </c>
      <c r="C18" s="2">
        <f t="shared" si="1"/>
        <v>245861</v>
      </c>
      <c r="D18" s="2">
        <v>21000</v>
      </c>
      <c r="E18" s="2">
        <f>B18+C18+D18</f>
        <v>385113</v>
      </c>
      <c r="F18" s="9"/>
      <c r="G18" s="9">
        <v>118252</v>
      </c>
      <c r="H18" s="3">
        <v>117025</v>
      </c>
      <c r="I18" s="3">
        <v>15066</v>
      </c>
      <c r="J18" s="3">
        <v>113770</v>
      </c>
    </row>
    <row r="19" spans="1:10">
      <c r="A19" s="12">
        <v>46127</v>
      </c>
      <c r="B19" s="2">
        <f t="shared" si="0"/>
        <v>130143</v>
      </c>
      <c r="C19" s="2">
        <f t="shared" si="1"/>
        <v>168919</v>
      </c>
      <c r="D19" s="2">
        <v>13800</v>
      </c>
      <c r="E19" s="2">
        <f>B19+C19+D19</f>
        <v>312862</v>
      </c>
      <c r="F19" s="9"/>
      <c r="G19" s="9">
        <v>130143</v>
      </c>
      <c r="H19" s="3">
        <v>26412</v>
      </c>
      <c r="I19" s="3">
        <v>27497</v>
      </c>
      <c r="J19" s="3">
        <v>115010</v>
      </c>
    </row>
    <row r="20" spans="1:10">
      <c r="A20" s="12">
        <v>46128</v>
      </c>
      <c r="B20" s="2">
        <f t="shared" si="0"/>
        <v>144948</v>
      </c>
      <c r="C20" s="2">
        <f t="shared" si="1"/>
        <v>201593</v>
      </c>
      <c r="D20" s="2">
        <v>9800</v>
      </c>
      <c r="E20" s="2">
        <f>B20+C20+D20</f>
        <v>356341</v>
      </c>
      <c r="F20" s="9"/>
      <c r="G20" s="10">
        <v>144948</v>
      </c>
      <c r="H20" s="3">
        <v>64666</v>
      </c>
      <c r="I20" s="3">
        <v>71734</v>
      </c>
      <c r="J20" s="3">
        <v>65193</v>
      </c>
    </row>
    <row r="21" spans="1:10">
      <c r="A21" s="12">
        <v>46129</v>
      </c>
      <c r="B21" s="2">
        <f t="shared" si="0"/>
        <v>139637</v>
      </c>
      <c r="C21" s="2">
        <f t="shared" si="1"/>
        <v>148614</v>
      </c>
      <c r="D21" s="2">
        <v>14000</v>
      </c>
      <c r="E21" s="2">
        <f>B21+C21+D21</f>
        <v>302251</v>
      </c>
      <c r="F21" s="9"/>
      <c r="G21" s="10">
        <v>139637</v>
      </c>
      <c r="H21" s="3">
        <v>29078</v>
      </c>
      <c r="I21" s="3">
        <v>8742</v>
      </c>
      <c r="J21" s="3">
        <v>110794</v>
      </c>
    </row>
    <row r="22" spans="1:10">
      <c r="A22" s="12">
        <v>46130</v>
      </c>
      <c r="B22" s="2">
        <f>F22+G22</f>
        <v>159894</v>
      </c>
      <c r="C22" s="2">
        <f>H22+I22+J22</f>
        <v>210614</v>
      </c>
      <c r="D22" s="2">
        <v>17400</v>
      </c>
      <c r="E22" s="2">
        <f>B22+C22+D22</f>
        <v>387908</v>
      </c>
      <c r="F22" s="9"/>
      <c r="G22" s="9">
        <v>159894</v>
      </c>
      <c r="H22" s="3">
        <v>45663</v>
      </c>
      <c r="I22" s="3">
        <v>38533</v>
      </c>
      <c r="J22" s="3">
        <v>126418</v>
      </c>
    </row>
    <row r="23" spans="1:10">
      <c r="A23" s="12">
        <v>46131</v>
      </c>
      <c r="B23" s="2">
        <f>F23+G23</f>
        <v>164406</v>
      </c>
      <c r="C23" s="2">
        <f>H23+I23+J23</f>
        <v>194990</v>
      </c>
      <c r="D23" s="2">
        <v>9400</v>
      </c>
      <c r="E23" s="2">
        <f>B23+C23+D23</f>
        <v>368796</v>
      </c>
      <c r="F23" s="9"/>
      <c r="G23" s="9">
        <v>164406</v>
      </c>
      <c r="H23" s="3">
        <v>43245</v>
      </c>
      <c r="I23" s="3">
        <v>34193</v>
      </c>
      <c r="J23" s="3">
        <v>117552</v>
      </c>
    </row>
    <row r="24" spans="1:10">
      <c r="A24" s="12">
        <v>46132</v>
      </c>
      <c r="B24" s="2">
        <f>F24+G24</f>
        <v>125631</v>
      </c>
      <c r="C24" s="2">
        <f>H24+I24+J24</f>
        <v>150257</v>
      </c>
      <c r="D24" s="2">
        <v>25400</v>
      </c>
      <c r="E24" s="2">
        <f>B24+C24+D24</f>
        <v>301288</v>
      </c>
      <c r="F24" s="9">
        <v>111437</v>
      </c>
      <c r="G24" s="9">
        <v>14194</v>
      </c>
      <c r="H24" s="3">
        <v>74121</v>
      </c>
      <c r="I24" s="3">
        <v>47957</v>
      </c>
      <c r="J24" s="3">
        <v>28179</v>
      </c>
    </row>
    <row r="25" spans="1:10">
      <c r="A25" s="12">
        <v>46133</v>
      </c>
      <c r="B25" s="2">
        <f>F25+G25</f>
        <v>127887</v>
      </c>
      <c r="C25" s="2">
        <f>H25+I25+J25</f>
        <v>190712</v>
      </c>
      <c r="D25" s="2">
        <v>5000</v>
      </c>
      <c r="E25" s="2">
        <f>B25+C25+D25</f>
        <v>323599</v>
      </c>
      <c r="F25" s="9">
        <v>37553</v>
      </c>
      <c r="G25" s="9">
        <v>90334</v>
      </c>
      <c r="H25" s="3">
        <v>81158</v>
      </c>
      <c r="I25" s="3">
        <v>85374</v>
      </c>
      <c r="J25" s="3">
        <v>24180</v>
      </c>
    </row>
    <row r="26" spans="1:10">
      <c r="A26" s="12">
        <v>46134</v>
      </c>
      <c r="B26" s="2">
        <f t="shared" si="0"/>
        <v>138368</v>
      </c>
      <c r="C26" s="2">
        <f t="shared" si="1"/>
        <v>191487</v>
      </c>
      <c r="D26" s="2">
        <v>9400</v>
      </c>
      <c r="E26" s="2">
        <f>B26+C26+D26</f>
        <v>339255</v>
      </c>
      <c r="F26" s="9">
        <v>84694</v>
      </c>
      <c r="G26" s="9">
        <v>53674</v>
      </c>
      <c r="H26" s="3">
        <v>29760</v>
      </c>
      <c r="I26" s="3">
        <v>43152</v>
      </c>
      <c r="J26" s="3">
        <v>118575</v>
      </c>
    </row>
    <row r="27" spans="1:10">
      <c r="A27" s="12">
        <v>46135</v>
      </c>
      <c r="B27" s="2">
        <f t="shared" si="0"/>
        <v>133433</v>
      </c>
      <c r="C27" s="2">
        <f t="shared" si="1"/>
        <v>182435</v>
      </c>
      <c r="D27" s="2">
        <v>13400</v>
      </c>
      <c r="E27" s="2">
        <f>B27+C27+D27</f>
        <v>329268</v>
      </c>
      <c r="F27" s="9">
        <v>71205</v>
      </c>
      <c r="G27" s="9">
        <v>62228</v>
      </c>
      <c r="H27" s="3">
        <v>54498</v>
      </c>
      <c r="I27" s="3">
        <v>14291</v>
      </c>
      <c r="J27" s="3">
        <v>113646</v>
      </c>
    </row>
    <row r="28" spans="1:10">
      <c r="A28" s="12">
        <v>46136</v>
      </c>
      <c r="B28" s="2">
        <f t="shared" si="0"/>
        <v>138885</v>
      </c>
      <c r="C28" s="2">
        <f t="shared" si="1"/>
        <v>161187</v>
      </c>
      <c r="D28" s="2">
        <v>12200</v>
      </c>
      <c r="E28" s="2">
        <f>B28+C28+D28</f>
        <v>312272</v>
      </c>
      <c r="F28" s="9">
        <v>60160</v>
      </c>
      <c r="G28" s="9">
        <v>78725</v>
      </c>
      <c r="H28" s="3">
        <v>14291</v>
      </c>
      <c r="I28" s="3">
        <v>56655</v>
      </c>
      <c r="J28" s="3">
        <v>90241</v>
      </c>
    </row>
    <row r="29" spans="1:10">
      <c r="A29" s="12">
        <v>46137</v>
      </c>
      <c r="B29" s="2">
        <f t="shared" si="0"/>
        <v>146170</v>
      </c>
      <c r="C29" s="2">
        <f t="shared" si="1"/>
        <v>179149</v>
      </c>
      <c r="D29" s="2">
        <v>12400</v>
      </c>
      <c r="E29" s="2">
        <f>B29+C29+D29</f>
        <v>337719</v>
      </c>
      <c r="F29" s="9">
        <v>94611</v>
      </c>
      <c r="G29" s="9">
        <v>51559</v>
      </c>
      <c r="H29" s="3">
        <v>32395</v>
      </c>
      <c r="I29" s="3">
        <v>58714</v>
      </c>
      <c r="J29" s="3">
        <v>88040</v>
      </c>
    </row>
    <row r="30" spans="1:10">
      <c r="A30" s="12">
        <v>46138</v>
      </c>
      <c r="B30" s="2">
        <f t="shared" si="0"/>
        <v>153784</v>
      </c>
      <c r="C30" s="2">
        <f t="shared" si="1"/>
        <v>178622</v>
      </c>
      <c r="D30" s="2">
        <v>12800</v>
      </c>
      <c r="E30" s="2">
        <f>B30+C30+D30</f>
        <v>345206</v>
      </c>
      <c r="F30" s="9">
        <v>153784</v>
      </c>
      <c r="G30" s="9"/>
      <c r="H30" s="3">
        <v>61628</v>
      </c>
      <c r="I30" s="3">
        <v>28613</v>
      </c>
      <c r="J30" s="3">
        <v>88381</v>
      </c>
    </row>
    <row r="31" spans="1:10">
      <c r="A31" s="12">
        <v>46139</v>
      </c>
      <c r="B31" s="2">
        <f t="shared" si="0"/>
        <v>128310</v>
      </c>
      <c r="C31" s="2">
        <f t="shared" si="1"/>
        <v>179955</v>
      </c>
      <c r="D31" s="2">
        <v>8400</v>
      </c>
      <c r="E31" s="2">
        <f>B31+C31+D31</f>
        <v>316665</v>
      </c>
      <c r="F31" s="9">
        <v>128310</v>
      </c>
      <c r="G31" s="9"/>
      <c r="H31" s="3">
        <v>26009</v>
      </c>
      <c r="I31" s="3">
        <v>18848</v>
      </c>
      <c r="J31" s="3">
        <v>135098</v>
      </c>
    </row>
    <row r="32" spans="1:10">
      <c r="A32" s="12">
        <v>46140</v>
      </c>
      <c r="B32" s="2">
        <f>F32+G32</f>
        <v>150776</v>
      </c>
      <c r="C32" s="2">
        <f t="shared" si="1"/>
        <v>274381</v>
      </c>
      <c r="D32" s="2">
        <v>13600</v>
      </c>
      <c r="E32" s="2">
        <f>B32+C32+D32</f>
        <v>438757</v>
      </c>
      <c r="F32" s="9">
        <v>25568</v>
      </c>
      <c r="G32" s="9">
        <v>125208</v>
      </c>
      <c r="H32" s="3">
        <v>122357</v>
      </c>
      <c r="I32" s="3">
        <v>59644</v>
      </c>
      <c r="J32" s="3">
        <v>92380</v>
      </c>
    </row>
    <row r="33" spans="1:10">
      <c r="A33" s="12">
        <v>46141</v>
      </c>
      <c r="B33" s="2">
        <f>F33+G33</f>
        <v>152609</v>
      </c>
      <c r="C33" s="2">
        <f t="shared" si="1"/>
        <v>164269</v>
      </c>
      <c r="D33" s="2">
        <v>9000</v>
      </c>
      <c r="E33" s="2">
        <f>B33+C33+D33</f>
        <v>325878</v>
      </c>
      <c r="F33" s="9"/>
      <c r="G33" s="9">
        <v>152609</v>
      </c>
      <c r="H33" s="3">
        <v>44547</v>
      </c>
      <c r="I33" s="3">
        <v>31031</v>
      </c>
      <c r="J33" s="3">
        <v>88691</v>
      </c>
    </row>
    <row r="34" spans="1:10">
      <c r="A34" s="12">
        <v>46142</v>
      </c>
      <c r="B34" s="2">
        <f>F34+G34</f>
        <v>144760</v>
      </c>
      <c r="C34" s="2">
        <f t="shared" si="1"/>
        <v>193657</v>
      </c>
      <c r="D34" s="2">
        <v>21200</v>
      </c>
      <c r="E34" s="2">
        <f>B34+C34+D34</f>
        <v>359617</v>
      </c>
      <c r="F34" s="3">
        <v>58468</v>
      </c>
      <c r="G34" s="3">
        <v>86292</v>
      </c>
      <c r="H34" s="3">
        <v>46686</v>
      </c>
      <c r="I34" s="3">
        <v>117676</v>
      </c>
      <c r="J34" s="3">
        <v>29295</v>
      </c>
    </row>
    <row r="35" spans="1:10">
      <c r="A35" t="s">
        <v>4</v>
      </c>
      <c r="B35" s="11">
        <f>SUM(B5:B34)</f>
        <v>4121007</v>
      </c>
      <c r="C35" s="11">
        <f>SUM(C5:C34)</f>
        <v>5495118</v>
      </c>
      <c r="D35" s="11">
        <f>SUM(D5:D34)</f>
        <v>472800</v>
      </c>
      <c r="E35" s="11">
        <f>SUM(E5:E34)</f>
        <v>10088925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6"/>
  <sheetViews>
    <sheetView workbookViewId="0">
      <selection activeCell="D2" sqref="D1:D1048576"/>
    </sheetView>
  </sheetViews>
  <sheetFormatPr baseColWidth="10" defaultRowHeight="14.4"/>
  <cols>
    <col min="2" max="3" width="14.44140625" bestFit="1" customWidth="1"/>
    <col min="4" max="4" width="12.88671875" bestFit="1" customWidth="1"/>
    <col min="5" max="5" width="15.44140625" bestFit="1" customWidth="1"/>
    <col min="6" max="9" width="12.77734375" bestFit="1" customWidth="1"/>
    <col min="10" max="10" width="15.33203125" bestFit="1" customWidth="1"/>
    <col min="15" max="15" width="52.33203125" bestFit="1" customWidth="1"/>
  </cols>
  <sheetData>
    <row r="1" spans="1:17">
      <c r="A1" s="27" t="s">
        <v>22</v>
      </c>
      <c r="B1" s="27"/>
      <c r="C1" s="27"/>
      <c r="D1" s="27"/>
      <c r="E1" s="27"/>
    </row>
    <row r="2" spans="1:17">
      <c r="A2" s="14"/>
      <c r="B2" s="14"/>
      <c r="C2" s="14"/>
      <c r="D2" s="14"/>
      <c r="E2" s="14"/>
    </row>
    <row r="3" spans="1:17">
      <c r="A3" s="14"/>
      <c r="B3" s="14"/>
      <c r="C3" s="14"/>
      <c r="D3" s="14"/>
      <c r="E3" s="14"/>
    </row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7">
      <c r="A5" s="12">
        <v>46143</v>
      </c>
      <c r="B5" s="13">
        <f>F5+G5</f>
        <v>114210</v>
      </c>
      <c r="C5" s="13">
        <f>H5+I5+J5</f>
        <v>151342</v>
      </c>
      <c r="D5" s="13">
        <v>22400</v>
      </c>
      <c r="E5" s="13">
        <f>B5+C5+D5</f>
        <v>287952</v>
      </c>
      <c r="F5" s="3">
        <v>44133</v>
      </c>
      <c r="G5" s="3">
        <v>70077</v>
      </c>
      <c r="H5" s="3">
        <v>20336</v>
      </c>
      <c r="I5" s="3">
        <v>51522</v>
      </c>
      <c r="J5" s="3">
        <v>79484</v>
      </c>
      <c r="O5" s="4" t="s">
        <v>23</v>
      </c>
      <c r="P5" s="4"/>
    </row>
    <row r="6" spans="1:17">
      <c r="A6" s="12">
        <v>46144</v>
      </c>
      <c r="B6" s="2">
        <f t="shared" ref="B6:B31" si="0">F6+G6</f>
        <v>161962</v>
      </c>
      <c r="C6" s="2">
        <f t="shared" ref="C6:C35" si="1">H6+I6+J6</f>
        <v>194308</v>
      </c>
      <c r="D6" s="2">
        <v>11200</v>
      </c>
      <c r="E6" s="2">
        <f>B6+C6+D6</f>
        <v>367470</v>
      </c>
      <c r="F6" s="3">
        <v>89864</v>
      </c>
      <c r="G6" s="3">
        <v>72098</v>
      </c>
      <c r="H6" s="3">
        <v>56637</v>
      </c>
      <c r="I6" s="3">
        <v>38068</v>
      </c>
      <c r="J6" s="3">
        <v>99603</v>
      </c>
      <c r="O6" s="5" t="s">
        <v>10</v>
      </c>
      <c r="P6" s="5" t="s">
        <v>11</v>
      </c>
      <c r="Q6" s="5" t="s">
        <v>12</v>
      </c>
    </row>
    <row r="7" spans="1:17">
      <c r="A7" s="12">
        <v>46145</v>
      </c>
      <c r="B7" s="2">
        <f t="shared" si="0"/>
        <v>127002</v>
      </c>
      <c r="C7" s="2">
        <f t="shared" si="1"/>
        <v>182745</v>
      </c>
      <c r="D7" s="2">
        <v>16000</v>
      </c>
      <c r="E7" s="2">
        <f>B7+C7+D7</f>
        <v>325747</v>
      </c>
      <c r="F7" s="3">
        <v>56502</v>
      </c>
      <c r="G7" s="3">
        <v>70500</v>
      </c>
      <c r="H7" s="3">
        <v>32054</v>
      </c>
      <c r="I7" s="3">
        <v>69564</v>
      </c>
      <c r="J7" s="3">
        <v>81127</v>
      </c>
      <c r="O7" s="6" t="s">
        <v>13</v>
      </c>
      <c r="P7" s="6">
        <v>187</v>
      </c>
      <c r="Q7" s="2">
        <v>32958.75</v>
      </c>
    </row>
    <row r="8" spans="1:17">
      <c r="A8" s="12">
        <v>46146</v>
      </c>
      <c r="B8" s="2">
        <f t="shared" si="0"/>
        <v>143679</v>
      </c>
      <c r="C8" s="2">
        <f t="shared" si="1"/>
        <v>190743</v>
      </c>
      <c r="D8" s="2">
        <v>6400</v>
      </c>
      <c r="E8" s="2">
        <f>B8+C8+D8</f>
        <v>340822</v>
      </c>
      <c r="F8" s="3">
        <v>78960</v>
      </c>
      <c r="G8" s="3">
        <v>64719</v>
      </c>
      <c r="H8" s="3"/>
      <c r="I8" s="3">
        <v>100874</v>
      </c>
      <c r="J8" s="3">
        <v>89869</v>
      </c>
      <c r="O8" s="7" t="s">
        <v>14</v>
      </c>
      <c r="P8" s="6">
        <v>224</v>
      </c>
      <c r="Q8" s="2">
        <v>36400</v>
      </c>
    </row>
    <row r="9" spans="1:17">
      <c r="A9" s="12">
        <v>46147</v>
      </c>
      <c r="B9" s="2">
        <f t="shared" si="0"/>
        <v>118393</v>
      </c>
      <c r="C9" s="2">
        <f t="shared" si="1"/>
        <v>167307</v>
      </c>
      <c r="D9" s="2">
        <v>29600</v>
      </c>
      <c r="E9" s="2">
        <f>B9+C9+D9</f>
        <v>315300</v>
      </c>
      <c r="F9" s="3">
        <v>98747</v>
      </c>
      <c r="G9" s="3">
        <v>19646</v>
      </c>
      <c r="H9" s="3"/>
      <c r="I9" s="3">
        <v>111631</v>
      </c>
      <c r="J9" s="3">
        <v>55676</v>
      </c>
    </row>
    <row r="10" spans="1:17">
      <c r="A10" s="12">
        <v>46148</v>
      </c>
      <c r="B10" s="2">
        <f t="shared" si="0"/>
        <v>159847</v>
      </c>
      <c r="C10" s="2">
        <f t="shared" si="1"/>
        <v>199981</v>
      </c>
      <c r="D10" s="2">
        <v>17200</v>
      </c>
      <c r="E10" s="2">
        <f>B10+C10+D10</f>
        <v>377028</v>
      </c>
      <c r="F10" s="3">
        <v>88266</v>
      </c>
      <c r="G10" s="3">
        <v>71581</v>
      </c>
      <c r="H10" s="3"/>
      <c r="I10" s="3">
        <v>68045</v>
      </c>
      <c r="J10" s="3">
        <v>131936</v>
      </c>
    </row>
    <row r="11" spans="1:17">
      <c r="A11" s="12">
        <v>46149</v>
      </c>
      <c r="B11" s="2">
        <f t="shared" si="0"/>
        <v>122146</v>
      </c>
      <c r="C11" s="2">
        <f t="shared" si="1"/>
        <v>48081</v>
      </c>
      <c r="D11" s="2">
        <v>18400</v>
      </c>
      <c r="E11" s="2">
        <f>B11+C11+D11</f>
        <v>188627</v>
      </c>
      <c r="F11" s="8">
        <v>62040</v>
      </c>
      <c r="G11" s="3">
        <v>60106</v>
      </c>
      <c r="H11" s="3"/>
      <c r="I11" s="3">
        <v>35557</v>
      </c>
      <c r="J11" s="3">
        <v>12524</v>
      </c>
    </row>
    <row r="12" spans="1:17">
      <c r="A12" s="12">
        <v>46150</v>
      </c>
      <c r="B12" s="2">
        <f t="shared" si="0"/>
        <v>147627</v>
      </c>
      <c r="C12" s="2">
        <f t="shared" si="1"/>
        <v>138229</v>
      </c>
      <c r="D12" s="2">
        <v>18000</v>
      </c>
      <c r="E12" s="2">
        <f>B12+C12+D12</f>
        <v>303856</v>
      </c>
      <c r="F12" s="9">
        <v>90193</v>
      </c>
      <c r="G12" s="3">
        <v>57434</v>
      </c>
      <c r="H12" s="3"/>
      <c r="I12" s="3">
        <v>12338</v>
      </c>
      <c r="J12" s="3">
        <v>125891</v>
      </c>
    </row>
    <row r="13" spans="1:17">
      <c r="A13" s="12">
        <v>46151</v>
      </c>
      <c r="B13" s="2">
        <f t="shared" si="0"/>
        <v>177284</v>
      </c>
      <c r="C13" s="2">
        <f t="shared" si="1"/>
        <v>192479</v>
      </c>
      <c r="D13" s="2">
        <v>16200</v>
      </c>
      <c r="E13" s="2">
        <f>B13+C13+D13</f>
        <v>385963</v>
      </c>
      <c r="F13" s="9">
        <v>94611</v>
      </c>
      <c r="G13" s="3">
        <v>82673</v>
      </c>
      <c r="H13" s="3"/>
      <c r="I13" s="3">
        <v>47709</v>
      </c>
      <c r="J13" s="3">
        <v>144770</v>
      </c>
    </row>
    <row r="14" spans="1:17">
      <c r="A14" s="12">
        <v>46152</v>
      </c>
      <c r="B14" s="2">
        <f>F14+G14</f>
        <v>150541</v>
      </c>
      <c r="C14" s="2">
        <f>H14+I14+J14</f>
        <v>217093</v>
      </c>
      <c r="D14" s="2">
        <v>12000</v>
      </c>
      <c r="E14" s="2">
        <f>B14+C14+D14</f>
        <v>379634</v>
      </c>
      <c r="F14" s="9">
        <v>68667</v>
      </c>
      <c r="G14" s="3">
        <v>81874</v>
      </c>
      <c r="H14" s="3"/>
      <c r="I14" s="3">
        <v>92814</v>
      </c>
      <c r="J14" s="3">
        <v>124279</v>
      </c>
    </row>
    <row r="15" spans="1:17">
      <c r="A15" s="12">
        <v>46153</v>
      </c>
      <c r="B15" s="2">
        <f t="shared" si="0"/>
        <v>147909</v>
      </c>
      <c r="C15" s="2">
        <f t="shared" si="1"/>
        <v>194091</v>
      </c>
      <c r="D15" s="2">
        <v>0</v>
      </c>
      <c r="E15" s="2">
        <f>B15+C15+D15</f>
        <v>342000</v>
      </c>
      <c r="F15" s="9">
        <v>83707</v>
      </c>
      <c r="G15" s="3">
        <v>64202</v>
      </c>
      <c r="H15" s="3"/>
      <c r="I15" s="3">
        <v>120249</v>
      </c>
      <c r="J15" s="3">
        <v>73842</v>
      </c>
    </row>
    <row r="16" spans="1:17">
      <c r="A16" s="12">
        <v>46154</v>
      </c>
      <c r="B16" s="2">
        <f t="shared" si="0"/>
        <v>143115</v>
      </c>
      <c r="C16" s="2">
        <f t="shared" si="1"/>
        <v>193905</v>
      </c>
      <c r="D16" s="2">
        <v>16000</v>
      </c>
      <c r="E16" s="2">
        <f>B16+C16+D16</f>
        <v>353020</v>
      </c>
      <c r="F16" s="9">
        <v>77832</v>
      </c>
      <c r="G16" s="10">
        <v>65283</v>
      </c>
      <c r="H16" s="3"/>
      <c r="I16" s="3">
        <v>48019</v>
      </c>
      <c r="J16" s="3">
        <v>145886</v>
      </c>
    </row>
    <row r="17" spans="1:10">
      <c r="A17" s="12">
        <v>46155</v>
      </c>
      <c r="B17" s="2">
        <f t="shared" si="0"/>
        <v>125766</v>
      </c>
      <c r="C17" s="2">
        <f t="shared" si="1"/>
        <v>166284</v>
      </c>
      <c r="D17" s="2">
        <v>14600</v>
      </c>
      <c r="E17" s="2">
        <f>B17+C17+D17</f>
        <v>306650</v>
      </c>
      <c r="F17" s="9">
        <v>56535</v>
      </c>
      <c r="G17" s="9">
        <v>69231</v>
      </c>
      <c r="H17" s="3"/>
      <c r="I17" s="3">
        <v>39277</v>
      </c>
      <c r="J17" s="3">
        <v>127007</v>
      </c>
    </row>
    <row r="18" spans="1:10">
      <c r="A18" s="12">
        <v>46156</v>
      </c>
      <c r="B18" s="2">
        <f t="shared" si="0"/>
        <v>160458</v>
      </c>
      <c r="C18" s="2">
        <f t="shared" si="1"/>
        <v>307582</v>
      </c>
      <c r="D18" s="2">
        <v>4200</v>
      </c>
      <c r="E18" s="2">
        <f>B18+C18+D18</f>
        <v>472240</v>
      </c>
      <c r="F18" s="9">
        <v>89347</v>
      </c>
      <c r="G18" s="9">
        <v>71111</v>
      </c>
      <c r="H18" s="3"/>
      <c r="I18" s="3">
        <v>135005</v>
      </c>
      <c r="J18" s="3">
        <v>172577</v>
      </c>
    </row>
    <row r="19" spans="1:10">
      <c r="A19" s="12">
        <v>46157</v>
      </c>
      <c r="B19" s="2">
        <f t="shared" si="0"/>
        <v>112800</v>
      </c>
      <c r="C19" s="2">
        <f t="shared" si="1"/>
        <v>149606</v>
      </c>
      <c r="D19" s="2">
        <v>1000</v>
      </c>
      <c r="E19" s="2">
        <f>B19+C19+D19</f>
        <v>263406</v>
      </c>
      <c r="F19" s="9">
        <v>67351</v>
      </c>
      <c r="G19" s="9">
        <v>45449</v>
      </c>
      <c r="H19" s="3"/>
      <c r="I19" s="3">
        <v>39215</v>
      </c>
      <c r="J19" s="3">
        <v>110391</v>
      </c>
    </row>
    <row r="20" spans="1:10">
      <c r="A20" s="12">
        <v>46158</v>
      </c>
      <c r="B20" s="2">
        <f t="shared" si="0"/>
        <v>170704</v>
      </c>
      <c r="C20" s="2">
        <f t="shared" si="1"/>
        <v>181257</v>
      </c>
      <c r="D20" s="2">
        <v>17200</v>
      </c>
      <c r="E20" s="2">
        <f>B20+C20+D20</f>
        <v>369161</v>
      </c>
      <c r="F20" s="9">
        <v>58139</v>
      </c>
      <c r="G20" s="10">
        <v>112565</v>
      </c>
      <c r="H20" s="3"/>
      <c r="I20" s="3">
        <v>39525</v>
      </c>
      <c r="J20" s="3">
        <v>141732</v>
      </c>
    </row>
    <row r="21" spans="1:10">
      <c r="A21" s="12">
        <v>46159</v>
      </c>
      <c r="B21" s="2">
        <f t="shared" si="0"/>
        <v>143820</v>
      </c>
      <c r="C21" s="2">
        <f t="shared" si="1"/>
        <v>206119</v>
      </c>
      <c r="D21" s="2">
        <v>3200</v>
      </c>
      <c r="E21" s="2">
        <f>B21+C21+D21</f>
        <v>353139</v>
      </c>
      <c r="F21" s="9">
        <v>80605</v>
      </c>
      <c r="G21" s="10">
        <v>63215</v>
      </c>
      <c r="H21" s="3"/>
      <c r="I21" s="3">
        <v>59148</v>
      </c>
      <c r="J21" s="3">
        <v>146971</v>
      </c>
    </row>
    <row r="22" spans="1:10">
      <c r="A22" s="12">
        <v>46160</v>
      </c>
      <c r="B22" s="2">
        <f>F22+G22</f>
        <v>163842</v>
      </c>
      <c r="C22" s="2">
        <f>H22+I22+J22</f>
        <v>182683</v>
      </c>
      <c r="D22" s="2">
        <v>22600</v>
      </c>
      <c r="E22" s="2">
        <f>B22+C22+D22</f>
        <v>369125</v>
      </c>
      <c r="F22" s="9">
        <v>83801</v>
      </c>
      <c r="G22" s="9">
        <v>80041</v>
      </c>
      <c r="H22" s="3"/>
      <c r="I22" s="3">
        <v>47585</v>
      </c>
      <c r="J22" s="3">
        <v>135098</v>
      </c>
    </row>
    <row r="23" spans="1:10">
      <c r="A23" s="12">
        <v>46161</v>
      </c>
      <c r="B23" s="2">
        <f>F23+G23</f>
        <v>144243</v>
      </c>
      <c r="C23" s="2">
        <f>H23+I23+J23</f>
        <v>163277</v>
      </c>
      <c r="D23" s="2">
        <v>12800</v>
      </c>
      <c r="E23" s="2">
        <f>B23+C23+D23</f>
        <v>320320</v>
      </c>
      <c r="F23" s="9">
        <v>62369</v>
      </c>
      <c r="G23" s="9">
        <v>81874</v>
      </c>
      <c r="H23" s="3"/>
      <c r="I23" s="3">
        <v>131378</v>
      </c>
      <c r="J23" s="3">
        <v>31899</v>
      </c>
    </row>
    <row r="24" spans="1:10">
      <c r="A24" s="12">
        <v>46162</v>
      </c>
      <c r="B24" s="2">
        <f>F24+G24</f>
        <v>137945</v>
      </c>
      <c r="C24" s="2">
        <f>H24+I24+J24</f>
        <v>201748</v>
      </c>
      <c r="D24" s="2">
        <v>0</v>
      </c>
      <c r="E24" s="2">
        <f>B24+C24+D24</f>
        <v>339693</v>
      </c>
      <c r="F24" s="9">
        <v>71581</v>
      </c>
      <c r="G24" s="9">
        <v>66364</v>
      </c>
      <c r="H24" s="3"/>
      <c r="I24" s="3">
        <v>41075</v>
      </c>
      <c r="J24" s="3">
        <v>160673</v>
      </c>
    </row>
    <row r="25" spans="1:10">
      <c r="A25" s="12">
        <v>46163</v>
      </c>
      <c r="B25" s="2">
        <f>F25+G25</f>
        <v>164782</v>
      </c>
      <c r="C25" s="2">
        <f>H25+I25+J25</f>
        <v>209281</v>
      </c>
      <c r="D25" s="2">
        <v>0</v>
      </c>
      <c r="E25" s="2">
        <f>B25+C25+D25</f>
        <v>374063</v>
      </c>
      <c r="F25" s="9">
        <v>84365</v>
      </c>
      <c r="G25" s="9">
        <v>80417</v>
      </c>
      <c r="H25" s="3"/>
      <c r="I25" s="3">
        <v>55273</v>
      </c>
      <c r="J25" s="3">
        <v>154008</v>
      </c>
    </row>
    <row r="26" spans="1:10">
      <c r="A26" s="12">
        <v>46164</v>
      </c>
      <c r="B26" s="2">
        <f t="shared" si="0"/>
        <v>151857</v>
      </c>
      <c r="C26" s="2">
        <f t="shared" si="1"/>
        <v>183582</v>
      </c>
      <c r="D26" s="2">
        <v>24200</v>
      </c>
      <c r="E26" s="2">
        <f>B26+C26+D26</f>
        <v>359639</v>
      </c>
      <c r="F26" s="9">
        <v>69043</v>
      </c>
      <c r="G26" s="9">
        <v>82814</v>
      </c>
      <c r="H26" s="3"/>
      <c r="I26" s="3">
        <v>44919</v>
      </c>
      <c r="J26" s="3">
        <v>138663</v>
      </c>
    </row>
    <row r="27" spans="1:10">
      <c r="A27" s="12">
        <v>46165</v>
      </c>
      <c r="B27" s="2">
        <f t="shared" si="0"/>
        <v>192559</v>
      </c>
      <c r="C27" s="2">
        <f t="shared" si="1"/>
        <v>245582</v>
      </c>
      <c r="D27" s="2">
        <v>9800</v>
      </c>
      <c r="E27" s="2">
        <f>B27+C27+D27</f>
        <v>447941</v>
      </c>
      <c r="F27" s="9">
        <v>101567</v>
      </c>
      <c r="G27" s="9">
        <v>90992</v>
      </c>
      <c r="H27" s="3"/>
      <c r="I27" s="3">
        <v>70184</v>
      </c>
      <c r="J27" s="3">
        <v>175398</v>
      </c>
    </row>
    <row r="28" spans="1:10">
      <c r="A28" s="12">
        <v>46166</v>
      </c>
      <c r="B28" s="2">
        <f t="shared" si="0"/>
        <v>157121</v>
      </c>
      <c r="C28" s="2">
        <f t="shared" si="1"/>
        <v>305381</v>
      </c>
      <c r="D28" s="2">
        <v>21200</v>
      </c>
      <c r="E28" s="2">
        <f>B28+C28+D28</f>
        <v>483702</v>
      </c>
      <c r="F28" s="9">
        <v>76046</v>
      </c>
      <c r="G28" s="9">
        <v>81075</v>
      </c>
      <c r="H28" s="3"/>
      <c r="I28" s="3">
        <v>157821</v>
      </c>
      <c r="J28" s="3">
        <v>147560</v>
      </c>
    </row>
    <row r="29" spans="1:10">
      <c r="A29" s="12">
        <v>46167</v>
      </c>
      <c r="B29" s="2">
        <f t="shared" si="0"/>
        <v>194768</v>
      </c>
      <c r="C29" s="2">
        <f t="shared" si="1"/>
        <v>225618</v>
      </c>
      <c r="D29" s="2">
        <v>20400</v>
      </c>
      <c r="E29" s="2">
        <f>B29+C29+D29</f>
        <v>440786</v>
      </c>
      <c r="F29" s="9">
        <v>85728</v>
      </c>
      <c r="G29" s="9">
        <v>109040</v>
      </c>
      <c r="H29" s="3"/>
      <c r="I29" s="3">
        <v>142941</v>
      </c>
      <c r="J29" s="3">
        <v>82677</v>
      </c>
    </row>
    <row r="30" spans="1:10">
      <c r="A30" s="12">
        <v>46168</v>
      </c>
      <c r="B30" s="2">
        <f t="shared" si="0"/>
        <v>253706</v>
      </c>
      <c r="C30" s="2">
        <f t="shared" si="1"/>
        <v>255099</v>
      </c>
      <c r="D30" s="2">
        <v>20800</v>
      </c>
      <c r="E30" s="2">
        <f>B30+C30+D30</f>
        <v>529605</v>
      </c>
      <c r="F30" s="9">
        <v>133292</v>
      </c>
      <c r="G30" s="9">
        <v>120414</v>
      </c>
      <c r="H30" s="3"/>
      <c r="I30" s="3">
        <v>62248</v>
      </c>
      <c r="J30" s="3">
        <v>192851</v>
      </c>
    </row>
    <row r="31" spans="1:10">
      <c r="A31" s="12">
        <v>46169</v>
      </c>
      <c r="B31" s="2">
        <f t="shared" si="0"/>
        <v>132211</v>
      </c>
      <c r="C31" s="2">
        <f t="shared" si="1"/>
        <v>80104</v>
      </c>
      <c r="D31" s="2">
        <v>0</v>
      </c>
      <c r="E31" s="2">
        <f>B31+C31+D31</f>
        <v>212315</v>
      </c>
      <c r="F31" s="9">
        <v>65283</v>
      </c>
      <c r="G31" s="9">
        <v>66928</v>
      </c>
      <c r="H31" s="3"/>
      <c r="I31" s="3">
        <v>9548</v>
      </c>
      <c r="J31" s="3">
        <v>70556</v>
      </c>
    </row>
    <row r="32" spans="1:10">
      <c r="A32" s="12">
        <v>46170</v>
      </c>
      <c r="B32" s="2">
        <f>F32+G32</f>
        <v>180292</v>
      </c>
      <c r="C32" s="2">
        <f t="shared" si="1"/>
        <v>126945</v>
      </c>
      <c r="D32" s="2">
        <v>0</v>
      </c>
      <c r="E32" s="2">
        <f>B32+C32+D32</f>
        <v>307237</v>
      </c>
      <c r="F32" s="9">
        <v>83566</v>
      </c>
      <c r="G32" s="9">
        <v>96726</v>
      </c>
      <c r="H32" s="3"/>
      <c r="I32" s="3">
        <v>29419</v>
      </c>
      <c r="J32" s="3">
        <v>97526</v>
      </c>
    </row>
    <row r="33" spans="1:10">
      <c r="A33" s="12">
        <v>46171</v>
      </c>
      <c r="B33" s="2">
        <f>F33+G33</f>
        <v>179211</v>
      </c>
      <c r="C33" s="2">
        <f t="shared" si="1"/>
        <v>143096</v>
      </c>
      <c r="D33" s="2">
        <v>13800</v>
      </c>
      <c r="E33" s="2">
        <f>B33+C33+D33</f>
        <v>336107</v>
      </c>
      <c r="F33" s="9">
        <v>81404</v>
      </c>
      <c r="G33" s="9">
        <v>97807</v>
      </c>
      <c r="H33" s="3"/>
      <c r="I33" s="3">
        <v>28644</v>
      </c>
      <c r="J33" s="3">
        <v>114452</v>
      </c>
    </row>
    <row r="34" spans="1:10">
      <c r="A34" s="12">
        <v>46172</v>
      </c>
      <c r="B34" s="2">
        <f>F34+G34</f>
        <v>171221</v>
      </c>
      <c r="C34" s="2">
        <f t="shared" si="1"/>
        <v>184016</v>
      </c>
      <c r="D34" s="2">
        <v>11400</v>
      </c>
      <c r="E34" s="2">
        <f>B34+C34+D34</f>
        <v>366637</v>
      </c>
      <c r="F34" s="3">
        <v>84177</v>
      </c>
      <c r="G34" s="3">
        <v>87044</v>
      </c>
      <c r="H34" s="3"/>
      <c r="I34" s="3">
        <v>35526</v>
      </c>
      <c r="J34" s="3">
        <v>148490</v>
      </c>
    </row>
    <row r="35" spans="1:10">
      <c r="A35" s="12">
        <v>46173</v>
      </c>
      <c r="B35" s="2">
        <f>F35+G35</f>
        <v>170375</v>
      </c>
      <c r="C35" s="2">
        <f t="shared" si="1"/>
        <v>191890</v>
      </c>
      <c r="D35" s="2">
        <v>11000</v>
      </c>
      <c r="E35" s="2">
        <f>B35+C35+D35</f>
        <v>373265</v>
      </c>
      <c r="F35" s="3">
        <v>16920</v>
      </c>
      <c r="G35" s="3">
        <v>153455</v>
      </c>
      <c r="H35" s="3"/>
      <c r="I35" s="3">
        <v>37169</v>
      </c>
      <c r="J35" s="3">
        <v>154721</v>
      </c>
    </row>
    <row r="36" spans="1:10">
      <c r="A36" s="6" t="s">
        <v>4</v>
      </c>
      <c r="B36" s="11">
        <f>SUM(B5:B35)</f>
        <v>4821396</v>
      </c>
      <c r="C36" s="11">
        <f>SUM(C5:C35)</f>
        <v>5779454</v>
      </c>
      <c r="D36" s="11">
        <f>SUM(D5:D35)</f>
        <v>391600</v>
      </c>
      <c r="E36" s="11">
        <f>SUM(E5:E35)</f>
        <v>10992450</v>
      </c>
    </row>
  </sheetData>
  <mergeCells count="1">
    <mergeCell ref="A1:E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R36"/>
  <sheetViews>
    <sheetView workbookViewId="0">
      <selection activeCell="C8" sqref="C8"/>
    </sheetView>
  </sheetViews>
  <sheetFormatPr baseColWidth="10" defaultRowHeight="14.4"/>
  <cols>
    <col min="2" max="3" width="14.44140625" bestFit="1" customWidth="1"/>
    <col min="4" max="4" width="12.88671875" bestFit="1" customWidth="1"/>
    <col min="5" max="5" width="15.44140625" bestFit="1" customWidth="1"/>
    <col min="6" max="10" width="12.77734375" bestFit="1" customWidth="1"/>
    <col min="14" max="14" width="1.33203125" customWidth="1"/>
    <col min="15" max="15" width="50.6640625" bestFit="1" customWidth="1"/>
    <col min="17" max="17" width="11.77734375" bestFit="1" customWidth="1"/>
  </cols>
  <sheetData>
    <row r="2" spans="1:18">
      <c r="A2" s="27" t="s">
        <v>26</v>
      </c>
      <c r="B2" s="27"/>
      <c r="C2" s="27"/>
      <c r="D2" s="27"/>
      <c r="E2" s="27"/>
    </row>
    <row r="3" spans="1:18">
      <c r="A3" s="14"/>
      <c r="B3" s="14"/>
      <c r="C3" s="14"/>
      <c r="D3" s="14"/>
      <c r="E3" s="14"/>
    </row>
    <row r="4" spans="1:18">
      <c r="A4" s="14"/>
      <c r="B4" s="14"/>
      <c r="C4" s="14"/>
      <c r="D4" s="14"/>
      <c r="E4" s="14"/>
    </row>
    <row r="5" spans="1:1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8">
      <c r="A6" s="12">
        <v>46174</v>
      </c>
      <c r="B6" s="13">
        <f>F6+G6</f>
        <v>162646</v>
      </c>
      <c r="C6" s="13">
        <f>H6+I6+J6</f>
        <v>235383</v>
      </c>
      <c r="D6" s="13">
        <v>6200</v>
      </c>
      <c r="E6" s="13">
        <f>B6+C6+D6</f>
        <v>404229</v>
      </c>
      <c r="F6" s="3">
        <v>54473</v>
      </c>
      <c r="G6" s="3">
        <v>108173</v>
      </c>
      <c r="H6" s="3"/>
      <c r="I6" s="3">
        <v>79453</v>
      </c>
      <c r="J6" s="3">
        <v>155930</v>
      </c>
      <c r="O6" s="4" t="s">
        <v>27</v>
      </c>
      <c r="P6" s="4"/>
    </row>
    <row r="7" spans="1:18">
      <c r="A7" s="12">
        <v>46175</v>
      </c>
      <c r="B7" s="2">
        <f t="shared" ref="B7:B32" si="0">F7+G7</f>
        <v>146452</v>
      </c>
      <c r="C7" s="2">
        <f t="shared" ref="C7:C35" si="1">H7+I7+J7</f>
        <v>169880</v>
      </c>
      <c r="D7" s="2">
        <v>5200</v>
      </c>
      <c r="E7" s="2">
        <f>B7+C7+D7</f>
        <v>321532</v>
      </c>
      <c r="F7" s="3">
        <v>76234</v>
      </c>
      <c r="G7" s="3">
        <v>70218</v>
      </c>
      <c r="H7" s="3"/>
      <c r="I7" s="3">
        <v>50375</v>
      </c>
      <c r="J7" s="3">
        <v>119505</v>
      </c>
      <c r="O7" s="5" t="s">
        <v>10</v>
      </c>
      <c r="P7" s="5" t="s">
        <v>11</v>
      </c>
      <c r="Q7" s="5" t="s">
        <v>12</v>
      </c>
    </row>
    <row r="8" spans="1:18">
      <c r="A8" s="12">
        <v>46176</v>
      </c>
      <c r="B8" s="2">
        <f t="shared" si="0"/>
        <v>89413</v>
      </c>
      <c r="C8" s="2">
        <f t="shared" si="1"/>
        <v>205685</v>
      </c>
      <c r="D8" s="2">
        <v>7800</v>
      </c>
      <c r="E8" s="2">
        <f>B8+C8+D8</f>
        <v>302898</v>
      </c>
      <c r="F8" s="3">
        <v>6740</v>
      </c>
      <c r="G8" s="3">
        <v>82673</v>
      </c>
      <c r="H8" s="3"/>
      <c r="I8" s="3">
        <v>113367</v>
      </c>
      <c r="J8" s="3">
        <v>92318</v>
      </c>
      <c r="O8" s="6" t="s">
        <v>13</v>
      </c>
      <c r="P8" s="6">
        <v>169</v>
      </c>
      <c r="Q8" s="2">
        <f>+P8*R12</f>
        <v>29786.25</v>
      </c>
      <c r="R8">
        <f>+Q8/P8</f>
        <v>176.25</v>
      </c>
    </row>
    <row r="9" spans="1:18">
      <c r="A9" s="12">
        <v>46177</v>
      </c>
      <c r="B9" s="2">
        <f t="shared" si="0"/>
        <v>158343</v>
      </c>
      <c r="C9" s="2">
        <f t="shared" si="1"/>
        <v>226207</v>
      </c>
      <c r="D9" s="2">
        <v>12600</v>
      </c>
      <c r="E9" s="2">
        <f>B9+C9+D9</f>
        <v>397150</v>
      </c>
      <c r="F9" s="3">
        <v>88595</v>
      </c>
      <c r="G9" s="3">
        <v>69748</v>
      </c>
      <c r="H9" s="3"/>
      <c r="I9" s="3">
        <v>171182</v>
      </c>
      <c r="J9" s="3">
        <v>55025</v>
      </c>
      <c r="O9" s="7" t="s">
        <v>14</v>
      </c>
      <c r="P9" s="6">
        <v>224</v>
      </c>
      <c r="Q9" s="2">
        <v>36400</v>
      </c>
    </row>
    <row r="10" spans="1:18">
      <c r="A10" s="12">
        <v>46178</v>
      </c>
      <c r="B10" s="2">
        <f t="shared" si="0"/>
        <v>148097</v>
      </c>
      <c r="C10" s="2">
        <f t="shared" si="1"/>
        <v>168330</v>
      </c>
      <c r="D10" s="2">
        <v>10400</v>
      </c>
      <c r="E10" s="2">
        <f>B10+C10+D10</f>
        <v>326827</v>
      </c>
      <c r="F10" s="3">
        <v>85681</v>
      </c>
      <c r="G10" s="3">
        <v>62416</v>
      </c>
      <c r="H10" s="3"/>
      <c r="I10" s="3">
        <v>37913</v>
      </c>
      <c r="J10" s="3">
        <v>130417</v>
      </c>
    </row>
    <row r="11" spans="1:18">
      <c r="A11" s="12">
        <v>46179</v>
      </c>
      <c r="B11" s="2">
        <f t="shared" si="0"/>
        <v>170234</v>
      </c>
      <c r="C11" s="2">
        <f t="shared" si="1"/>
        <v>210800</v>
      </c>
      <c r="D11" s="2">
        <v>13200</v>
      </c>
      <c r="E11" s="2">
        <f>B11+C11+D11</f>
        <v>394234</v>
      </c>
      <c r="F11" s="3">
        <v>73649</v>
      </c>
      <c r="G11" s="3">
        <v>96585</v>
      </c>
      <c r="H11" s="3"/>
      <c r="I11" s="3">
        <v>63147</v>
      </c>
      <c r="J11" s="3">
        <v>147653</v>
      </c>
    </row>
    <row r="12" spans="1:18">
      <c r="A12" s="12">
        <v>46180</v>
      </c>
      <c r="B12" s="2">
        <f t="shared" si="0"/>
        <v>170704</v>
      </c>
      <c r="C12" s="2">
        <f t="shared" si="1"/>
        <v>199361</v>
      </c>
      <c r="D12" s="2">
        <v>10800</v>
      </c>
      <c r="E12" s="2">
        <f>B12+C12+D12</f>
        <v>380865</v>
      </c>
      <c r="F12" s="8">
        <v>81921</v>
      </c>
      <c r="G12" s="3">
        <v>88783</v>
      </c>
      <c r="H12" s="3"/>
      <c r="I12" s="3">
        <v>63395</v>
      </c>
      <c r="J12" s="3">
        <v>135966</v>
      </c>
      <c r="R12">
        <v>176.25</v>
      </c>
    </row>
    <row r="13" spans="1:18">
      <c r="A13" s="12">
        <v>46181</v>
      </c>
      <c r="B13" s="2">
        <f t="shared" si="0"/>
        <v>155805</v>
      </c>
      <c r="C13" s="2">
        <f t="shared" si="1"/>
        <v>192138</v>
      </c>
      <c r="D13" s="2">
        <v>3400</v>
      </c>
      <c r="E13" s="2">
        <f>B13+C13+D13</f>
        <v>351343</v>
      </c>
      <c r="F13" s="9">
        <v>51183</v>
      </c>
      <c r="G13" s="3">
        <v>104622</v>
      </c>
      <c r="H13" s="3"/>
      <c r="I13" s="3">
        <v>51801</v>
      </c>
      <c r="J13" s="3">
        <v>140337</v>
      </c>
    </row>
    <row r="14" spans="1:18">
      <c r="A14" s="12">
        <v>46182</v>
      </c>
      <c r="B14" s="2">
        <f t="shared" si="0"/>
        <v>122811</v>
      </c>
      <c r="C14" s="2">
        <f t="shared" si="1"/>
        <v>172205</v>
      </c>
      <c r="D14" s="2">
        <v>10000</v>
      </c>
      <c r="E14" s="2">
        <f>B14+C14+D14</f>
        <v>305016</v>
      </c>
      <c r="F14" s="9"/>
      <c r="G14" s="3">
        <v>122811</v>
      </c>
      <c r="H14" s="3"/>
      <c r="I14" s="3">
        <v>73067</v>
      </c>
      <c r="J14" s="3">
        <v>99138</v>
      </c>
    </row>
    <row r="15" spans="1:18">
      <c r="A15" s="12">
        <v>46183</v>
      </c>
      <c r="B15" s="2">
        <f>F15+G15</f>
        <v>148050</v>
      </c>
      <c r="C15" s="2">
        <f>H15+I15+J15</f>
        <v>299460</v>
      </c>
      <c r="D15" s="2">
        <v>12600</v>
      </c>
      <c r="E15" s="2">
        <f>B15+C15+D15</f>
        <v>460110</v>
      </c>
      <c r="F15" s="9">
        <v>57622</v>
      </c>
      <c r="G15" s="3">
        <v>90428</v>
      </c>
      <c r="H15" s="3"/>
      <c r="I15" s="3">
        <v>152923</v>
      </c>
      <c r="J15" s="3">
        <v>146537</v>
      </c>
    </row>
    <row r="16" spans="1:18">
      <c r="A16" s="12">
        <v>46184</v>
      </c>
      <c r="B16" s="2">
        <f t="shared" si="0"/>
        <v>179728</v>
      </c>
      <c r="C16" s="2">
        <f t="shared" si="1"/>
        <v>228842</v>
      </c>
      <c r="D16" s="2">
        <v>11400</v>
      </c>
      <c r="E16" s="2">
        <f>B16+C16+D16</f>
        <v>419970</v>
      </c>
      <c r="F16" s="9">
        <v>88595</v>
      </c>
      <c r="G16" s="3">
        <v>91133</v>
      </c>
      <c r="H16" s="3"/>
      <c r="I16" s="3">
        <v>78647</v>
      </c>
      <c r="J16" s="3">
        <v>150195</v>
      </c>
    </row>
    <row r="17" spans="1:16">
      <c r="A17" s="12">
        <v>46185</v>
      </c>
      <c r="B17" s="2">
        <f t="shared" si="0"/>
        <v>131788</v>
      </c>
      <c r="C17" s="2">
        <f t="shared" si="1"/>
        <v>209095</v>
      </c>
      <c r="D17" s="2">
        <v>12600</v>
      </c>
      <c r="E17" s="2">
        <f>B17+C17+D17</f>
        <v>353483</v>
      </c>
      <c r="F17" s="9">
        <v>52170</v>
      </c>
      <c r="G17" s="10">
        <v>79618</v>
      </c>
      <c r="H17" s="3"/>
      <c r="I17" s="3">
        <v>50034</v>
      </c>
      <c r="J17" s="3">
        <v>159061</v>
      </c>
    </row>
    <row r="18" spans="1:16">
      <c r="A18" s="12">
        <v>46186</v>
      </c>
      <c r="B18" s="2">
        <f t="shared" si="0"/>
        <v>173054</v>
      </c>
      <c r="C18" s="2">
        <f t="shared" si="1"/>
        <v>380787</v>
      </c>
      <c r="D18" s="2">
        <v>10000</v>
      </c>
      <c r="E18" s="2">
        <f>B18+C18+D18</f>
        <v>563841</v>
      </c>
      <c r="F18" s="9">
        <v>82109</v>
      </c>
      <c r="G18" s="9">
        <v>90945</v>
      </c>
      <c r="H18" s="3"/>
      <c r="I18" s="3">
        <v>65100</v>
      </c>
      <c r="J18" s="3">
        <v>315687</v>
      </c>
    </row>
    <row r="19" spans="1:16">
      <c r="A19" s="12">
        <v>46187</v>
      </c>
      <c r="B19" s="2">
        <f t="shared" si="0"/>
        <v>139872</v>
      </c>
      <c r="C19" s="2">
        <f t="shared" si="1"/>
        <v>86304</v>
      </c>
      <c r="D19" s="2">
        <v>7200</v>
      </c>
      <c r="E19" s="2">
        <f>B19+C19+D19</f>
        <v>233376</v>
      </c>
      <c r="F19" s="9">
        <v>71534</v>
      </c>
      <c r="G19" s="9">
        <v>68338</v>
      </c>
      <c r="H19" s="3"/>
      <c r="I19" s="3">
        <v>70401</v>
      </c>
      <c r="J19" s="3">
        <v>15903</v>
      </c>
      <c r="P19">
        <f>21.125*8</f>
        <v>169</v>
      </c>
    </row>
    <row r="20" spans="1:16">
      <c r="A20" s="12">
        <v>46188</v>
      </c>
      <c r="B20" s="2">
        <f t="shared" si="0"/>
        <v>156040</v>
      </c>
      <c r="C20" s="2">
        <f t="shared" si="1"/>
        <v>197346</v>
      </c>
      <c r="D20" s="2">
        <v>8000</v>
      </c>
      <c r="E20" s="2">
        <f>B20+C20+D20</f>
        <v>361386</v>
      </c>
      <c r="F20" s="9">
        <v>65236</v>
      </c>
      <c r="G20" s="9">
        <v>90804</v>
      </c>
      <c r="H20" s="3"/>
      <c r="I20" s="3">
        <v>197346</v>
      </c>
      <c r="J20" s="3"/>
      <c r="P20">
        <f>28*8</f>
        <v>224</v>
      </c>
    </row>
    <row r="21" spans="1:16">
      <c r="A21" s="12">
        <v>46189</v>
      </c>
      <c r="B21" s="2">
        <f t="shared" si="0"/>
        <v>137898</v>
      </c>
      <c r="C21" s="2">
        <f t="shared" si="1"/>
        <v>191611</v>
      </c>
      <c r="D21" s="2">
        <v>15000</v>
      </c>
      <c r="E21" s="2">
        <f>B21+C21+D21</f>
        <v>344509</v>
      </c>
      <c r="F21" s="9">
        <v>76187</v>
      </c>
      <c r="G21" s="10">
        <v>61711</v>
      </c>
      <c r="H21" s="3"/>
      <c r="I21" s="3">
        <v>139314</v>
      </c>
      <c r="J21" s="3">
        <v>52297</v>
      </c>
    </row>
    <row r="22" spans="1:16">
      <c r="A22" s="12">
        <v>46190</v>
      </c>
      <c r="B22" s="2">
        <f t="shared" si="0"/>
        <v>171558</v>
      </c>
      <c r="C22" s="2">
        <f t="shared" si="1"/>
        <v>61969</v>
      </c>
      <c r="D22" s="2">
        <v>13200</v>
      </c>
      <c r="E22" s="2">
        <f>B22+C22+D22</f>
        <v>246727</v>
      </c>
      <c r="F22" s="9">
        <v>89684</v>
      </c>
      <c r="G22" s="10">
        <v>81874</v>
      </c>
      <c r="H22" s="3"/>
      <c r="I22" s="3">
        <v>48205</v>
      </c>
      <c r="J22" s="3">
        <v>13764</v>
      </c>
    </row>
    <row r="23" spans="1:16">
      <c r="A23" s="12">
        <v>46191</v>
      </c>
      <c r="B23" s="2">
        <f>F23+G23</f>
        <v>170140</v>
      </c>
      <c r="C23" s="2">
        <f>H23+I23+J23</f>
        <v>196602</v>
      </c>
      <c r="D23" s="2">
        <v>200</v>
      </c>
      <c r="E23" s="2">
        <f>B23+C23+D23</f>
        <v>366942</v>
      </c>
      <c r="F23" s="9">
        <v>57998</v>
      </c>
      <c r="G23" s="9">
        <v>112142</v>
      </c>
      <c r="H23" s="3"/>
      <c r="I23" s="3">
        <v>49879</v>
      </c>
      <c r="J23" s="3">
        <v>146723</v>
      </c>
    </row>
    <row r="24" spans="1:16">
      <c r="A24" s="12">
        <v>46192</v>
      </c>
      <c r="B24" s="2">
        <f>F24+G24</f>
        <v>142175</v>
      </c>
      <c r="C24" s="2">
        <f>H24+I24+J24</f>
        <v>168175</v>
      </c>
      <c r="D24" s="18">
        <v>385000</v>
      </c>
      <c r="E24" s="2">
        <f>B24+C24+D24</f>
        <v>695350</v>
      </c>
      <c r="F24" s="9">
        <v>77409</v>
      </c>
      <c r="G24" s="9">
        <v>64766</v>
      </c>
      <c r="H24" s="3"/>
      <c r="I24" s="3">
        <v>56420</v>
      </c>
      <c r="J24" s="3">
        <v>111755</v>
      </c>
      <c r="K24" s="19" t="s">
        <v>28</v>
      </c>
    </row>
    <row r="25" spans="1:16">
      <c r="A25" s="12">
        <v>46193</v>
      </c>
      <c r="B25" s="2">
        <f>F25+G25</f>
        <v>181655</v>
      </c>
      <c r="C25" s="2">
        <f>H25+I25+J25</f>
        <v>222828</v>
      </c>
      <c r="D25" s="2">
        <v>10200</v>
      </c>
      <c r="E25" s="2">
        <f>B25+C25+D25</f>
        <v>414683</v>
      </c>
      <c r="F25" s="9">
        <v>101614</v>
      </c>
      <c r="G25" s="9">
        <v>80041</v>
      </c>
      <c r="H25" s="3"/>
      <c r="I25" s="3">
        <v>66836</v>
      </c>
      <c r="J25" s="3">
        <v>155992</v>
      </c>
    </row>
    <row r="26" spans="1:16">
      <c r="A26" s="12">
        <v>46194</v>
      </c>
      <c r="B26" s="2">
        <f>F26+G26</f>
        <v>168260</v>
      </c>
      <c r="C26" s="2">
        <f>H26+I26+J26</f>
        <v>199051</v>
      </c>
      <c r="D26" s="2">
        <v>12200</v>
      </c>
      <c r="E26" s="2">
        <f>B26+C26+D26</f>
        <v>379511</v>
      </c>
      <c r="F26" s="9">
        <v>66411</v>
      </c>
      <c r="G26" s="9">
        <v>101849</v>
      </c>
      <c r="H26" s="3"/>
      <c r="I26" s="3">
        <v>150939</v>
      </c>
      <c r="J26" s="3">
        <v>48112</v>
      </c>
    </row>
    <row r="27" spans="1:16">
      <c r="A27" s="12">
        <v>46195</v>
      </c>
      <c r="B27" s="2">
        <f t="shared" si="0"/>
        <v>153643</v>
      </c>
      <c r="C27" s="2">
        <f t="shared" si="1"/>
        <v>203391</v>
      </c>
      <c r="D27" s="2">
        <v>10400</v>
      </c>
      <c r="E27" s="2">
        <f>B27+C27+D27</f>
        <v>367434</v>
      </c>
      <c r="F27" s="9">
        <v>82062</v>
      </c>
      <c r="G27" s="9">
        <v>71581</v>
      </c>
      <c r="H27" s="3"/>
      <c r="I27" s="3">
        <v>75113</v>
      </c>
      <c r="J27" s="3">
        <v>128278</v>
      </c>
    </row>
    <row r="28" spans="1:16">
      <c r="A28" s="12">
        <v>46196</v>
      </c>
      <c r="B28" s="2">
        <f t="shared" si="0"/>
        <v>130848</v>
      </c>
      <c r="C28" s="2">
        <f t="shared" si="1"/>
        <v>57536</v>
      </c>
      <c r="D28" s="2">
        <v>6800</v>
      </c>
      <c r="E28" s="2">
        <f>B28+C28+D28</f>
        <v>195184</v>
      </c>
      <c r="F28" s="9">
        <v>29610</v>
      </c>
      <c r="G28" s="9">
        <v>101238</v>
      </c>
      <c r="H28" s="3"/>
      <c r="I28" s="3">
        <v>43958</v>
      </c>
      <c r="J28" s="3">
        <v>13578</v>
      </c>
    </row>
    <row r="29" spans="1:16">
      <c r="A29" s="12">
        <v>46197</v>
      </c>
      <c r="B29" s="2">
        <f t="shared" si="0"/>
        <v>161304</v>
      </c>
      <c r="C29" s="2">
        <f t="shared" si="1"/>
        <v>232159</v>
      </c>
      <c r="D29" s="2">
        <v>4600</v>
      </c>
      <c r="E29" s="2">
        <f>B29+C29+D29</f>
        <v>398063</v>
      </c>
      <c r="F29" s="9">
        <v>75435</v>
      </c>
      <c r="G29" s="9">
        <v>85869</v>
      </c>
      <c r="H29" s="3"/>
      <c r="I29" s="3">
        <v>82305</v>
      </c>
      <c r="J29" s="3">
        <v>149854</v>
      </c>
    </row>
    <row r="30" spans="1:16">
      <c r="A30" s="12">
        <v>46198</v>
      </c>
      <c r="B30" s="2">
        <f t="shared" si="0"/>
        <v>148050</v>
      </c>
      <c r="C30" s="2">
        <f t="shared" si="1"/>
        <v>176917</v>
      </c>
      <c r="D30" s="2">
        <v>7800</v>
      </c>
      <c r="E30" s="2">
        <f>B30+C30+D30</f>
        <v>332767</v>
      </c>
      <c r="F30" s="9">
        <v>70312</v>
      </c>
      <c r="G30" s="9">
        <v>77738</v>
      </c>
      <c r="H30" s="3"/>
      <c r="I30" s="3"/>
      <c r="J30" s="3">
        <v>176917</v>
      </c>
    </row>
    <row r="31" spans="1:16">
      <c r="A31" s="12">
        <v>46199</v>
      </c>
      <c r="B31" s="2">
        <f t="shared" si="0"/>
        <v>155100</v>
      </c>
      <c r="C31" s="2">
        <f t="shared" si="1"/>
        <v>133331</v>
      </c>
      <c r="D31" s="2">
        <v>5000</v>
      </c>
      <c r="E31" s="2">
        <f>B31+C31+D31</f>
        <v>293431</v>
      </c>
      <c r="F31" s="9">
        <v>78208</v>
      </c>
      <c r="G31" s="9">
        <v>76892</v>
      </c>
      <c r="H31" s="3"/>
      <c r="I31" s="3">
        <v>37758</v>
      </c>
      <c r="J31" s="3">
        <v>95573</v>
      </c>
    </row>
    <row r="32" spans="1:16">
      <c r="A32" s="12">
        <v>46200</v>
      </c>
      <c r="B32" s="2">
        <f t="shared" si="0"/>
        <v>141376</v>
      </c>
      <c r="C32" s="2">
        <f t="shared" si="1"/>
        <v>214644</v>
      </c>
      <c r="D32" s="2">
        <v>9600</v>
      </c>
      <c r="E32" s="2">
        <f>B32+C32+D32</f>
        <v>365620</v>
      </c>
      <c r="F32" s="9">
        <v>79289</v>
      </c>
      <c r="G32" s="9">
        <v>62087</v>
      </c>
      <c r="H32" s="3"/>
      <c r="I32" s="3">
        <v>61876</v>
      </c>
      <c r="J32" s="3">
        <v>152768</v>
      </c>
    </row>
    <row r="33" spans="1:10">
      <c r="A33" s="12">
        <v>46201</v>
      </c>
      <c r="B33" s="2">
        <f>F33+G33</f>
        <v>164735</v>
      </c>
      <c r="C33" s="2">
        <f t="shared" si="1"/>
        <v>213590</v>
      </c>
      <c r="D33" s="2">
        <v>3000</v>
      </c>
      <c r="E33" s="2">
        <f>B33+C33+D33</f>
        <v>381325</v>
      </c>
      <c r="F33" s="9">
        <v>88172</v>
      </c>
      <c r="G33" s="9">
        <v>76563</v>
      </c>
      <c r="H33" s="3"/>
      <c r="I33" s="3">
        <v>60853</v>
      </c>
      <c r="J33" s="3">
        <v>152737</v>
      </c>
    </row>
    <row r="34" spans="1:10">
      <c r="A34" s="12">
        <v>46202</v>
      </c>
      <c r="B34" s="2">
        <f>F34+G34</f>
        <v>148755</v>
      </c>
      <c r="C34" s="2">
        <f t="shared" si="1"/>
        <v>194308</v>
      </c>
      <c r="D34" s="2">
        <v>9400</v>
      </c>
      <c r="E34" s="2">
        <f>B34+C34+D34</f>
        <v>352463</v>
      </c>
      <c r="F34" s="9">
        <v>79101</v>
      </c>
      <c r="G34" s="9">
        <v>69654</v>
      </c>
      <c r="H34" s="3"/>
      <c r="I34" s="3">
        <v>48887</v>
      </c>
      <c r="J34" s="3">
        <v>145421</v>
      </c>
    </row>
    <row r="35" spans="1:10">
      <c r="A35" s="12">
        <v>46203</v>
      </c>
      <c r="B35" s="2">
        <f>F35+G35</f>
        <v>158766</v>
      </c>
      <c r="C35" s="2">
        <f t="shared" si="1"/>
        <v>131471</v>
      </c>
      <c r="D35" s="2">
        <v>10400</v>
      </c>
      <c r="E35" s="2">
        <f>B35+C35+D35</f>
        <v>300637</v>
      </c>
      <c r="F35" s="3">
        <v>67539</v>
      </c>
      <c r="G35" s="3">
        <v>91227</v>
      </c>
      <c r="H35" s="3"/>
      <c r="I35" s="3">
        <v>18104</v>
      </c>
      <c r="J35" s="3">
        <v>113367</v>
      </c>
    </row>
    <row r="36" spans="1:10">
      <c r="A36" s="6" t="s">
        <v>4</v>
      </c>
      <c r="B36" s="11">
        <f>SUM(B6:B35)</f>
        <v>4587300</v>
      </c>
      <c r="C36" s="11">
        <f>SUM(C6:C35)</f>
        <v>5779406</v>
      </c>
      <c r="D36" s="11">
        <f>SUM(D6:D35)</f>
        <v>644200</v>
      </c>
      <c r="E36" s="11">
        <f>SUM(E6:E35)</f>
        <v>11010906</v>
      </c>
    </row>
  </sheetData>
  <mergeCells count="1">
    <mergeCell ref="A2:E2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Q37"/>
  <sheetViews>
    <sheetView workbookViewId="0">
      <selection activeCell="P12" sqref="P12"/>
    </sheetView>
  </sheetViews>
  <sheetFormatPr baseColWidth="10" defaultRowHeight="14.4"/>
  <cols>
    <col min="2" max="2" width="15.33203125" bestFit="1" customWidth="1"/>
    <col min="3" max="3" width="14.44140625" bestFit="1" customWidth="1"/>
    <col min="4" max="4" width="12.88671875" bestFit="1" customWidth="1"/>
    <col min="5" max="5" width="15.44140625" bestFit="1" customWidth="1"/>
    <col min="6" max="7" width="12.77734375" bestFit="1" customWidth="1"/>
    <col min="9" max="10" width="12.77734375" bestFit="1" customWidth="1"/>
    <col min="15" max="15" width="51" bestFit="1" customWidth="1"/>
    <col min="17" max="17" width="11.77734375" bestFit="1" customWidth="1"/>
  </cols>
  <sheetData>
    <row r="2" spans="1:17">
      <c r="A2" s="27" t="s">
        <v>29</v>
      </c>
      <c r="B2" s="27"/>
      <c r="C2" s="27"/>
      <c r="D2" s="27"/>
      <c r="E2" s="27"/>
    </row>
    <row r="3" spans="1:17">
      <c r="A3" s="14"/>
      <c r="B3" s="14"/>
      <c r="C3" s="14"/>
      <c r="D3" s="14"/>
      <c r="E3" s="14"/>
    </row>
    <row r="4" spans="1:17">
      <c r="A4" s="14"/>
      <c r="B4" s="14"/>
      <c r="C4" s="14"/>
      <c r="D4" s="14"/>
      <c r="E4" s="14"/>
    </row>
    <row r="5" spans="1:17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7">
      <c r="A6" s="12">
        <v>46204</v>
      </c>
      <c r="B6" s="13">
        <f>F6+G6</f>
        <v>166796</v>
      </c>
      <c r="C6" s="13">
        <f>H6+I6+J6</f>
        <v>96441</v>
      </c>
      <c r="D6" s="13">
        <v>12600</v>
      </c>
      <c r="E6" s="13">
        <f>B6+C6+D6</f>
        <v>275837</v>
      </c>
      <c r="F6" s="3">
        <v>85204</v>
      </c>
      <c r="G6" s="3">
        <v>81592</v>
      </c>
      <c r="H6" s="3"/>
      <c r="I6" s="3">
        <v>81623</v>
      </c>
      <c r="J6" s="3">
        <v>14818</v>
      </c>
      <c r="O6" s="4" t="s">
        <v>30</v>
      </c>
      <c r="P6" s="4"/>
    </row>
    <row r="7" spans="1:17">
      <c r="A7" s="12">
        <v>46205</v>
      </c>
      <c r="B7" s="2">
        <f t="shared" ref="B7:B33" si="0">F7+G7</f>
        <v>142175</v>
      </c>
      <c r="C7" s="2">
        <f t="shared" ref="C7:C36" si="1">H7+I7+J7</f>
        <v>153605</v>
      </c>
      <c r="D7" s="2">
        <v>11000</v>
      </c>
      <c r="E7" s="2">
        <f>B7+C7+D7</f>
        <v>306780</v>
      </c>
      <c r="F7" s="3">
        <v>78020</v>
      </c>
      <c r="G7" s="3">
        <v>64155</v>
      </c>
      <c r="H7" s="3"/>
      <c r="I7" s="3">
        <v>38657</v>
      </c>
      <c r="J7" s="3">
        <v>114948</v>
      </c>
      <c r="O7" s="5" t="s">
        <v>10</v>
      </c>
      <c r="P7" s="5" t="s">
        <v>11</v>
      </c>
      <c r="Q7" s="5" t="s">
        <v>12</v>
      </c>
    </row>
    <row r="8" spans="1:17">
      <c r="A8" s="12">
        <v>46206</v>
      </c>
      <c r="B8" s="2">
        <f t="shared" si="0"/>
        <v>154207</v>
      </c>
      <c r="C8" s="2">
        <f t="shared" si="1"/>
        <v>167555</v>
      </c>
      <c r="D8" s="2">
        <v>16000</v>
      </c>
      <c r="E8" s="2">
        <f>B8+C8+D8</f>
        <v>337762</v>
      </c>
      <c r="F8" s="3">
        <v>64531</v>
      </c>
      <c r="G8" s="3">
        <v>89676</v>
      </c>
      <c r="H8" s="3"/>
      <c r="I8" s="3">
        <v>46810</v>
      </c>
      <c r="J8" s="3">
        <v>120745</v>
      </c>
      <c r="O8" s="6" t="s">
        <v>13</v>
      </c>
      <c r="P8" s="6">
        <v>178</v>
      </c>
      <c r="Q8" s="2">
        <v>32262.5</v>
      </c>
    </row>
    <row r="9" spans="1:17">
      <c r="A9" s="12">
        <v>46207</v>
      </c>
      <c r="B9" s="2">
        <f t="shared" si="0"/>
        <v>168589</v>
      </c>
      <c r="C9" s="2">
        <f t="shared" si="1"/>
        <v>189534</v>
      </c>
      <c r="D9" s="2">
        <v>17400</v>
      </c>
      <c r="E9" s="2">
        <f>B9+C9+D9</f>
        <v>375523</v>
      </c>
      <c r="F9" s="3">
        <v>82720</v>
      </c>
      <c r="G9" s="3">
        <v>85869</v>
      </c>
      <c r="H9" s="3"/>
      <c r="I9" s="3">
        <v>41633</v>
      </c>
      <c r="J9" s="3">
        <v>147901</v>
      </c>
      <c r="O9" s="7" t="s">
        <v>14</v>
      </c>
      <c r="P9" s="6">
        <v>216</v>
      </c>
      <c r="Q9" s="2">
        <v>36450</v>
      </c>
    </row>
    <row r="10" spans="1:17">
      <c r="A10" s="12">
        <v>46208</v>
      </c>
      <c r="B10" s="2">
        <f t="shared" si="0"/>
        <v>148050</v>
      </c>
      <c r="C10" s="2">
        <f t="shared" si="1"/>
        <v>201035</v>
      </c>
      <c r="D10" s="2">
        <v>4800</v>
      </c>
      <c r="E10" s="2">
        <f>B10+C10+D10</f>
        <v>353885</v>
      </c>
      <c r="F10" s="3">
        <v>77879</v>
      </c>
      <c r="G10" s="3">
        <v>70171</v>
      </c>
      <c r="H10" s="3"/>
      <c r="I10" s="3">
        <v>65162</v>
      </c>
      <c r="J10" s="3">
        <v>135873</v>
      </c>
    </row>
    <row r="11" spans="1:17">
      <c r="A11" s="12">
        <v>46209</v>
      </c>
      <c r="B11" s="2">
        <f t="shared" si="0"/>
        <v>161492</v>
      </c>
      <c r="C11" s="2">
        <f t="shared" si="1"/>
        <v>216008</v>
      </c>
      <c r="D11" s="2">
        <v>6600</v>
      </c>
      <c r="E11" s="2">
        <f>B11+C11+D11</f>
        <v>384100</v>
      </c>
      <c r="F11" s="3">
        <v>65753</v>
      </c>
      <c r="G11" s="3">
        <v>95739</v>
      </c>
      <c r="H11" s="3"/>
      <c r="I11" s="3">
        <v>55986</v>
      </c>
      <c r="J11" s="3">
        <v>160022</v>
      </c>
    </row>
    <row r="12" spans="1:17">
      <c r="A12" s="12">
        <v>46210</v>
      </c>
      <c r="B12" s="2">
        <f t="shared" si="0"/>
        <v>165769</v>
      </c>
      <c r="C12" s="2">
        <f t="shared" si="1"/>
        <v>197966</v>
      </c>
      <c r="D12" s="2">
        <v>9200</v>
      </c>
      <c r="E12" s="2">
        <f>B12+C12+D12</f>
        <v>372935</v>
      </c>
      <c r="F12" s="8">
        <v>77973</v>
      </c>
      <c r="G12" s="3">
        <v>87796</v>
      </c>
      <c r="H12" s="3"/>
      <c r="I12" s="3">
        <v>48515</v>
      </c>
      <c r="J12" s="3">
        <v>149451</v>
      </c>
    </row>
    <row r="13" spans="1:17">
      <c r="A13" s="12">
        <v>46211</v>
      </c>
      <c r="B13" s="2">
        <f t="shared" si="0"/>
        <v>166051</v>
      </c>
      <c r="C13" s="2">
        <f t="shared" si="1"/>
        <v>180017</v>
      </c>
      <c r="D13" s="2">
        <v>7400</v>
      </c>
      <c r="E13" s="2">
        <f>B13+C13+D13</f>
        <v>353468</v>
      </c>
      <c r="F13" s="9">
        <v>80088</v>
      </c>
      <c r="G13" s="3">
        <v>85963</v>
      </c>
      <c r="H13" s="3"/>
      <c r="I13" s="3">
        <v>23746</v>
      </c>
      <c r="J13" s="3">
        <v>156271</v>
      </c>
    </row>
    <row r="14" spans="1:17">
      <c r="A14" s="12">
        <v>46212</v>
      </c>
      <c r="B14" s="2">
        <f t="shared" si="0"/>
        <v>173712</v>
      </c>
      <c r="C14" s="2">
        <f t="shared" si="1"/>
        <v>193905</v>
      </c>
      <c r="D14" s="2">
        <v>11400</v>
      </c>
      <c r="E14" s="2">
        <f>B14+C14+D14</f>
        <v>379017</v>
      </c>
      <c r="F14" s="9">
        <v>75999</v>
      </c>
      <c r="G14" s="3">
        <v>97713</v>
      </c>
      <c r="H14" s="3"/>
      <c r="I14" s="3">
        <v>25327</v>
      </c>
      <c r="J14" s="3">
        <v>168578</v>
      </c>
    </row>
    <row r="15" spans="1:17">
      <c r="A15" s="12">
        <v>46213</v>
      </c>
      <c r="B15" s="2">
        <f>F15+G15</f>
        <v>153737</v>
      </c>
      <c r="C15" s="2">
        <f>H15+I15+J15</f>
        <v>207235</v>
      </c>
      <c r="D15" s="2">
        <v>14000</v>
      </c>
      <c r="E15" s="2">
        <f>B15+C15+D15</f>
        <v>374972</v>
      </c>
      <c r="F15" s="9">
        <v>73790</v>
      </c>
      <c r="G15" s="3">
        <v>79947</v>
      </c>
      <c r="H15" s="3"/>
      <c r="I15" s="3">
        <v>53816</v>
      </c>
      <c r="J15" s="3">
        <v>153419</v>
      </c>
    </row>
    <row r="16" spans="1:17">
      <c r="A16" s="12">
        <v>46214</v>
      </c>
      <c r="B16" s="2">
        <f t="shared" si="0"/>
        <v>176156</v>
      </c>
      <c r="C16" s="2">
        <f t="shared" si="1"/>
        <v>194060</v>
      </c>
      <c r="D16" s="2">
        <v>0</v>
      </c>
      <c r="E16" s="2">
        <f>B16+C16+D16</f>
        <v>370216</v>
      </c>
      <c r="F16" s="9">
        <v>101332</v>
      </c>
      <c r="G16" s="3">
        <v>74824</v>
      </c>
      <c r="H16" s="3"/>
      <c r="I16" s="3">
        <v>113522</v>
      </c>
      <c r="J16" s="3">
        <v>80538</v>
      </c>
    </row>
    <row r="17" spans="1:11">
      <c r="A17" s="12">
        <v>46215</v>
      </c>
      <c r="B17" s="2">
        <f t="shared" si="0"/>
        <v>150165</v>
      </c>
      <c r="C17" s="2">
        <f t="shared" si="1"/>
        <v>165881</v>
      </c>
      <c r="D17" s="2">
        <v>9600</v>
      </c>
      <c r="E17" s="2">
        <f>B17+C17+D17</f>
        <v>325646</v>
      </c>
      <c r="F17" s="9">
        <v>69560</v>
      </c>
      <c r="G17" s="10">
        <v>80605</v>
      </c>
      <c r="H17" s="3"/>
      <c r="I17" s="3">
        <v>97619</v>
      </c>
      <c r="J17" s="3">
        <v>68262</v>
      </c>
    </row>
    <row r="18" spans="1:11">
      <c r="A18" s="12">
        <v>46216</v>
      </c>
      <c r="B18" s="2">
        <f t="shared" si="0"/>
        <v>165581</v>
      </c>
      <c r="C18" s="2">
        <f t="shared" si="1"/>
        <v>195982</v>
      </c>
      <c r="D18" s="2">
        <v>12600</v>
      </c>
      <c r="E18" s="2">
        <f>B18+C18+D18</f>
        <v>374163</v>
      </c>
      <c r="F18" s="9">
        <v>96397</v>
      </c>
      <c r="G18" s="9">
        <v>69184</v>
      </c>
      <c r="H18" s="3"/>
      <c r="I18" s="3">
        <v>50933</v>
      </c>
      <c r="J18" s="3">
        <v>145049</v>
      </c>
    </row>
    <row r="19" spans="1:11">
      <c r="A19" s="12">
        <v>46217</v>
      </c>
      <c r="B19" s="2">
        <f t="shared" si="0"/>
        <v>176438</v>
      </c>
      <c r="C19" s="2">
        <f t="shared" si="1"/>
        <v>220813</v>
      </c>
      <c r="D19" s="2">
        <v>9600</v>
      </c>
      <c r="E19" s="2">
        <f>B19+C19+D19</f>
        <v>406851</v>
      </c>
      <c r="F19" s="9">
        <v>88360</v>
      </c>
      <c r="G19" s="9">
        <v>88078</v>
      </c>
      <c r="H19" s="3"/>
      <c r="I19" s="3">
        <v>58218</v>
      </c>
      <c r="J19" s="3">
        <v>162595</v>
      </c>
    </row>
    <row r="20" spans="1:11">
      <c r="A20" s="12">
        <v>46218</v>
      </c>
      <c r="B20" s="2">
        <f t="shared" si="0"/>
        <v>147956</v>
      </c>
      <c r="C20" s="2">
        <f t="shared" si="1"/>
        <v>277233</v>
      </c>
      <c r="D20" s="2">
        <v>3200</v>
      </c>
      <c r="E20" s="2">
        <f>B20+C20+D20</f>
        <v>428389</v>
      </c>
      <c r="F20" s="9">
        <v>57199</v>
      </c>
      <c r="G20" s="9">
        <v>90757</v>
      </c>
      <c r="H20" s="3"/>
      <c r="I20" s="3">
        <v>98859</v>
      </c>
      <c r="J20" s="3">
        <v>178374</v>
      </c>
    </row>
    <row r="21" spans="1:11">
      <c r="A21" s="12">
        <v>46219</v>
      </c>
      <c r="B21" s="2">
        <f t="shared" si="0"/>
        <v>172960</v>
      </c>
      <c r="C21" s="2">
        <f t="shared" si="1"/>
        <v>213776</v>
      </c>
      <c r="D21" s="2">
        <v>7600</v>
      </c>
      <c r="E21" s="2">
        <f>B21+C21+D21</f>
        <v>394336</v>
      </c>
      <c r="F21" s="9">
        <v>139214</v>
      </c>
      <c r="G21" s="9">
        <v>33746</v>
      </c>
      <c r="H21" s="3"/>
      <c r="I21" s="3">
        <v>102703</v>
      </c>
      <c r="J21" s="3">
        <v>111073</v>
      </c>
    </row>
    <row r="22" spans="1:11">
      <c r="A22" s="12">
        <v>46220</v>
      </c>
      <c r="B22" s="2">
        <f t="shared" si="0"/>
        <v>185227</v>
      </c>
      <c r="C22" s="2">
        <f t="shared" si="1"/>
        <v>169291</v>
      </c>
      <c r="D22" s="2">
        <v>5600</v>
      </c>
      <c r="E22" s="2">
        <f>B22+C22+D22</f>
        <v>360118</v>
      </c>
      <c r="F22" s="9">
        <v>185227</v>
      </c>
      <c r="G22" s="10"/>
      <c r="H22" s="3"/>
      <c r="I22" s="3">
        <v>26350</v>
      </c>
      <c r="J22" s="3">
        <v>142941</v>
      </c>
    </row>
    <row r="23" spans="1:11">
      <c r="A23" s="12">
        <v>46221</v>
      </c>
      <c r="B23" s="2">
        <f t="shared" si="0"/>
        <v>182736</v>
      </c>
      <c r="C23" s="2">
        <f t="shared" si="1"/>
        <v>221495</v>
      </c>
      <c r="D23" s="2">
        <v>10800</v>
      </c>
      <c r="E23" s="2">
        <f>B23+C23+D23</f>
        <v>415031</v>
      </c>
      <c r="F23" s="9">
        <v>182736</v>
      </c>
      <c r="G23" s="10"/>
      <c r="H23" s="3"/>
      <c r="I23" s="3">
        <v>33728</v>
      </c>
      <c r="J23" s="3">
        <v>187767</v>
      </c>
    </row>
    <row r="24" spans="1:11">
      <c r="A24" s="12">
        <v>46222</v>
      </c>
      <c r="B24" s="2">
        <f>F24+G24</f>
        <v>178130</v>
      </c>
      <c r="C24" s="2">
        <f>H24+I24+J24</f>
        <v>147436</v>
      </c>
      <c r="D24" s="2">
        <v>8800</v>
      </c>
      <c r="E24" s="2">
        <f>B24+C24+D24</f>
        <v>334366</v>
      </c>
      <c r="F24" s="9">
        <v>178130</v>
      </c>
      <c r="G24" s="9"/>
      <c r="H24" s="3"/>
      <c r="I24" s="3">
        <v>86366</v>
      </c>
      <c r="J24" s="3">
        <v>61070</v>
      </c>
    </row>
    <row r="25" spans="1:11">
      <c r="A25" s="12">
        <v>46223</v>
      </c>
      <c r="B25" s="2">
        <f>F25+G25</f>
        <v>178318</v>
      </c>
      <c r="C25" s="2">
        <f>H25+I25+J25</f>
        <v>106144</v>
      </c>
      <c r="D25" s="20">
        <v>1400</v>
      </c>
      <c r="E25" s="2">
        <f>B25+C25+D25</f>
        <v>285862</v>
      </c>
      <c r="F25" s="9">
        <v>116372</v>
      </c>
      <c r="G25" s="9">
        <v>61946</v>
      </c>
      <c r="H25" s="3"/>
      <c r="I25" s="3">
        <v>24428</v>
      </c>
      <c r="J25" s="3">
        <v>81716</v>
      </c>
      <c r="K25" s="21"/>
    </row>
    <row r="26" spans="1:11">
      <c r="A26" s="12">
        <v>46224</v>
      </c>
      <c r="B26" s="2">
        <f>F26+G26</f>
        <v>199515</v>
      </c>
      <c r="C26" s="2">
        <f>H26+I26+J26</f>
        <v>239475</v>
      </c>
      <c r="D26" s="2">
        <v>12200</v>
      </c>
      <c r="E26" s="2">
        <f>B26+C26+D26</f>
        <v>451190</v>
      </c>
      <c r="F26" s="9">
        <v>102883</v>
      </c>
      <c r="G26" s="9">
        <v>96632</v>
      </c>
      <c r="H26" s="3"/>
      <c r="I26" s="3">
        <v>38006</v>
      </c>
      <c r="J26" s="3">
        <v>201469</v>
      </c>
    </row>
    <row r="27" spans="1:11">
      <c r="A27" s="12">
        <v>46225</v>
      </c>
      <c r="B27" s="2">
        <f>F27+G27</f>
        <v>188141</v>
      </c>
      <c r="C27" s="2">
        <f>H27+I27+J27</f>
        <v>94956</v>
      </c>
      <c r="D27" s="2">
        <v>8000</v>
      </c>
      <c r="E27" s="2">
        <f>B27+C27+D27</f>
        <v>291097</v>
      </c>
      <c r="F27" s="9">
        <v>105139</v>
      </c>
      <c r="G27" s="9">
        <v>83002</v>
      </c>
      <c r="H27" s="3"/>
      <c r="I27" s="3">
        <v>84041</v>
      </c>
      <c r="J27" s="3">
        <v>10915</v>
      </c>
    </row>
    <row r="28" spans="1:11">
      <c r="A28" s="12">
        <v>46226</v>
      </c>
      <c r="B28" s="2">
        <f t="shared" si="0"/>
        <v>203745</v>
      </c>
      <c r="C28" s="2">
        <f t="shared" si="1"/>
        <v>219480</v>
      </c>
      <c r="D28" s="2">
        <v>600</v>
      </c>
      <c r="E28" s="2">
        <f>B28+C28+D28</f>
        <v>423825</v>
      </c>
      <c r="F28" s="9">
        <v>109698</v>
      </c>
      <c r="G28" s="9">
        <v>94047</v>
      </c>
      <c r="H28" s="3"/>
      <c r="I28" s="3">
        <v>51863</v>
      </c>
      <c r="J28" s="3">
        <v>167617</v>
      </c>
    </row>
    <row r="29" spans="1:11">
      <c r="A29" s="12">
        <v>46227</v>
      </c>
      <c r="B29" s="2">
        <f t="shared" si="0"/>
        <v>190961</v>
      </c>
      <c r="C29" s="2">
        <f t="shared" si="1"/>
        <v>191673</v>
      </c>
      <c r="D29" s="2">
        <v>200</v>
      </c>
      <c r="E29" s="2">
        <f>B29+C29+D29</f>
        <v>382834</v>
      </c>
      <c r="F29" s="9">
        <v>89488</v>
      </c>
      <c r="G29" s="9">
        <v>101473</v>
      </c>
      <c r="H29" s="3"/>
      <c r="I29" s="3">
        <v>16089</v>
      </c>
      <c r="J29" s="3">
        <v>175584</v>
      </c>
    </row>
    <row r="30" spans="1:11">
      <c r="A30" s="12">
        <v>46228</v>
      </c>
      <c r="B30" s="2">
        <f t="shared" si="0"/>
        <v>215918</v>
      </c>
      <c r="C30" s="2">
        <f t="shared" si="1"/>
        <v>205902</v>
      </c>
      <c r="D30" s="2">
        <v>0</v>
      </c>
      <c r="E30" s="2">
        <f>B30+C30+D30</f>
        <v>421820</v>
      </c>
      <c r="F30" s="9">
        <v>129485</v>
      </c>
      <c r="G30" s="9">
        <v>86433</v>
      </c>
      <c r="H30" s="3"/>
      <c r="I30" s="3">
        <v>39711</v>
      </c>
      <c r="J30" s="3">
        <v>166191</v>
      </c>
    </row>
    <row r="31" spans="1:11">
      <c r="A31" s="12">
        <v>46229</v>
      </c>
      <c r="B31" s="2">
        <f t="shared" si="0"/>
        <v>193922</v>
      </c>
      <c r="C31" s="2">
        <f t="shared" si="1"/>
        <v>238886</v>
      </c>
      <c r="D31" s="2">
        <v>12600</v>
      </c>
      <c r="E31" s="2">
        <f>B31+C31+D31</f>
        <v>445408</v>
      </c>
      <c r="F31" s="9">
        <v>117359</v>
      </c>
      <c r="G31" s="9">
        <v>76563</v>
      </c>
      <c r="H31" s="3"/>
      <c r="I31" s="3">
        <v>51739</v>
      </c>
      <c r="J31" s="3">
        <v>187147</v>
      </c>
    </row>
    <row r="32" spans="1:11">
      <c r="A32" s="12">
        <v>46230</v>
      </c>
      <c r="B32" s="2">
        <f t="shared" si="0"/>
        <v>169811</v>
      </c>
      <c r="C32" s="2">
        <f t="shared" si="1"/>
        <v>264461</v>
      </c>
      <c r="D32" s="2">
        <v>11400</v>
      </c>
      <c r="E32" s="2">
        <f>B32+C32+D32</f>
        <v>445672</v>
      </c>
      <c r="F32" s="9">
        <v>87514</v>
      </c>
      <c r="G32" s="9">
        <v>82297</v>
      </c>
      <c r="H32" s="3"/>
      <c r="I32" s="3">
        <v>110236</v>
      </c>
      <c r="J32" s="3">
        <v>154225</v>
      </c>
    </row>
    <row r="33" spans="1:10">
      <c r="A33" s="12">
        <v>46231</v>
      </c>
      <c r="B33" s="2">
        <f t="shared" si="0"/>
        <v>174229</v>
      </c>
      <c r="C33" s="2">
        <f t="shared" si="1"/>
        <v>222301</v>
      </c>
      <c r="D33" s="2">
        <v>7600</v>
      </c>
      <c r="E33" s="2">
        <f>B33+C33+D33</f>
        <v>404130</v>
      </c>
      <c r="F33" s="9">
        <v>106972</v>
      </c>
      <c r="G33" s="9">
        <v>67257</v>
      </c>
      <c r="H33" s="3"/>
      <c r="I33" s="3">
        <v>62124</v>
      </c>
      <c r="J33" s="3">
        <v>160177</v>
      </c>
    </row>
    <row r="34" spans="1:10">
      <c r="A34" s="12">
        <v>46232</v>
      </c>
      <c r="B34" s="2">
        <f>F34+G34</f>
        <v>186214</v>
      </c>
      <c r="C34" s="2">
        <f t="shared" si="1"/>
        <v>198245</v>
      </c>
      <c r="D34" s="2">
        <v>16600</v>
      </c>
      <c r="E34" s="2">
        <f>B34+C34+D34</f>
        <v>401059</v>
      </c>
      <c r="F34" s="9">
        <v>98183</v>
      </c>
      <c r="G34" s="9">
        <v>88031</v>
      </c>
      <c r="H34" s="3"/>
      <c r="I34" s="3">
        <v>156829</v>
      </c>
      <c r="J34" s="3">
        <v>41416</v>
      </c>
    </row>
    <row r="35" spans="1:10">
      <c r="A35" s="12">
        <v>46233</v>
      </c>
      <c r="B35" s="2">
        <f>F35+G35</f>
        <v>210090</v>
      </c>
      <c r="C35" s="2">
        <f t="shared" si="1"/>
        <v>211079</v>
      </c>
      <c r="D35" s="2">
        <v>4000</v>
      </c>
      <c r="E35" s="2">
        <f>B35+C35+D35</f>
        <v>425169</v>
      </c>
      <c r="F35" s="9">
        <v>111296</v>
      </c>
      <c r="G35" s="9">
        <v>98794</v>
      </c>
      <c r="H35" s="3"/>
      <c r="I35" s="3">
        <v>29109</v>
      </c>
      <c r="J35" s="3">
        <v>181970</v>
      </c>
    </row>
    <row r="36" spans="1:10">
      <c r="A36" s="12">
        <v>46234</v>
      </c>
      <c r="B36" s="2">
        <f>F36+G36</f>
        <v>174981</v>
      </c>
      <c r="C36" s="2">
        <f t="shared" si="1"/>
        <v>170717</v>
      </c>
      <c r="D36" s="2">
        <v>10400</v>
      </c>
      <c r="E36" s="2">
        <f>B36+C36+D36</f>
        <v>356098</v>
      </c>
      <c r="F36" s="3">
        <v>101614</v>
      </c>
      <c r="G36" s="3">
        <v>73367</v>
      </c>
      <c r="H36" s="3"/>
      <c r="I36" s="3"/>
      <c r="J36" s="3">
        <v>170717</v>
      </c>
    </row>
    <row r="37" spans="1:10">
      <c r="A37" s="22" t="s">
        <v>4</v>
      </c>
      <c r="B37" s="11">
        <f>SUM(B6:B36)</f>
        <v>5421772</v>
      </c>
      <c r="C37" s="11">
        <f>SUM(C6:C36)</f>
        <v>5972587</v>
      </c>
      <c r="D37" s="11">
        <f>SUM(D6:D36)</f>
        <v>263200</v>
      </c>
      <c r="E37" s="11">
        <f>SUM(E6:E36)</f>
        <v>11657559</v>
      </c>
    </row>
  </sheetData>
  <mergeCells count="1">
    <mergeCell ref="A2:E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SUIVIE VERSSEMENT STATION </vt:lpstr>
      <vt:lpstr>Feuil1</vt:lpstr>
      <vt:lpstr>Feuil2</vt:lpstr>
      <vt:lpstr>Feuil3</vt:lpstr>
      <vt:lpstr>Feuil4</vt:lpstr>
      <vt:lpstr>Feuil5</vt:lpstr>
      <vt:lpstr>Feuil6</vt:lpstr>
      <vt:lpstr>Feuil7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2026-09-08T09:40:54Z</dcterms:modified>
</cp:coreProperties>
</file>