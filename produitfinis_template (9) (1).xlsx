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rodnat a envoyer\"/>
    </mc:Choice>
  </mc:AlternateContent>
  <bookViews>
    <workbookView xWindow="0" yWindow="0" windowWidth="28800" windowHeight="11730"/>
  </bookViews>
  <sheets>
    <sheet name="Sheet1" sheetId="1" r:id="rId1"/>
    <sheet name="Sheet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Sheet1!$A$1:$I$1</definedName>
  </definedNames>
  <calcPr calcId="162913"/>
</workbook>
</file>

<file path=xl/calcChain.xml><?xml version="1.0" encoding="utf-8"?>
<calcChain xmlns="http://schemas.openxmlformats.org/spreadsheetml/2006/main">
  <c r="E2" i="1" l="1"/>
  <c r="H95" i="1"/>
  <c r="H96" i="1"/>
  <c r="E95" i="1"/>
  <c r="E96" i="1"/>
  <c r="H86" i="1"/>
  <c r="H83" i="1"/>
  <c r="H29" i="1" l="1"/>
  <c r="H51" i="1"/>
  <c r="H46" i="1"/>
  <c r="H62" i="1"/>
  <c r="H49" i="1"/>
  <c r="H10" i="1"/>
  <c r="H58" i="1"/>
  <c r="H18" i="1"/>
  <c r="H23" i="1"/>
  <c r="H40" i="1"/>
  <c r="H81" i="1"/>
  <c r="H22" i="1"/>
  <c r="H41" i="1"/>
  <c r="H52" i="1"/>
  <c r="H59" i="1"/>
  <c r="H21" i="1"/>
  <c r="H42" i="1"/>
  <c r="H13" i="1"/>
  <c r="H70" i="1"/>
  <c r="H69" i="1"/>
  <c r="H55" i="1"/>
  <c r="H37" i="1"/>
  <c r="H27" i="1"/>
  <c r="H60" i="1"/>
  <c r="H68" i="1"/>
  <c r="H35" i="1"/>
  <c r="H79" i="1"/>
  <c r="H53" i="1"/>
  <c r="H36" i="1"/>
  <c r="H11" i="1"/>
  <c r="H5" i="1"/>
  <c r="H47" i="1"/>
  <c r="H45" i="1"/>
  <c r="H15" i="1"/>
  <c r="H54" i="1"/>
  <c r="H63" i="1"/>
  <c r="H2" i="1"/>
  <c r="H4" i="1"/>
  <c r="H74" i="1"/>
  <c r="H65" i="1"/>
  <c r="H56" i="1"/>
  <c r="H34" i="1"/>
  <c r="H75" i="1"/>
  <c r="H30" i="1"/>
  <c r="H26" i="1"/>
  <c r="H9" i="1"/>
  <c r="H19" i="1"/>
  <c r="H6" i="1"/>
  <c r="H17" i="1"/>
  <c r="H80" i="1"/>
  <c r="H16" i="1"/>
  <c r="H64" i="1"/>
  <c r="H31" i="1"/>
  <c r="H67" i="1"/>
  <c r="H43" i="1"/>
  <c r="H33" i="1"/>
  <c r="H78" i="1"/>
  <c r="H25" i="1"/>
  <c r="H12" i="1"/>
  <c r="H32" i="1"/>
  <c r="H28" i="1"/>
  <c r="H57" i="1"/>
  <c r="H38" i="1"/>
  <c r="H24" i="1"/>
  <c r="H50" i="1"/>
  <c r="H39" i="1"/>
  <c r="H72" i="1"/>
  <c r="H71" i="1"/>
  <c r="H73" i="1"/>
  <c r="H8" i="1"/>
  <c r="H20" i="1"/>
  <c r="H87" i="1"/>
  <c r="H90" i="1"/>
  <c r="H92" i="1"/>
  <c r="H94" i="1"/>
  <c r="H61" i="1"/>
  <c r="H77" i="1"/>
  <c r="H82" i="1"/>
  <c r="H3" i="1"/>
  <c r="H48" i="1"/>
  <c r="H7" i="1"/>
  <c r="H66" i="1"/>
  <c r="H14" i="1"/>
  <c r="E14" i="1" l="1"/>
  <c r="E66" i="1"/>
  <c r="E3" i="1"/>
  <c r="E48" i="1"/>
  <c r="E7" i="1"/>
  <c r="E29" i="1"/>
  <c r="E51" i="1"/>
  <c r="E46" i="1"/>
  <c r="E62" i="1"/>
  <c r="E49" i="1"/>
  <c r="E10" i="1"/>
  <c r="E58" i="1"/>
  <c r="E18" i="1"/>
  <c r="E23" i="1"/>
  <c r="E40" i="1"/>
  <c r="E81" i="1"/>
  <c r="E22" i="1"/>
  <c r="E41" i="1"/>
  <c r="E52" i="1"/>
  <c r="E59" i="1"/>
  <c r="E21" i="1"/>
  <c r="E42" i="1"/>
  <c r="E13" i="1"/>
  <c r="E70" i="1"/>
  <c r="E69" i="1"/>
  <c r="E55" i="1"/>
  <c r="E37" i="1"/>
  <c r="E27" i="1"/>
  <c r="E60" i="1"/>
  <c r="E68" i="1"/>
  <c r="E35" i="1"/>
  <c r="E79" i="1"/>
  <c r="E53" i="1"/>
  <c r="E36" i="1"/>
  <c r="E11" i="1"/>
  <c r="E5" i="1"/>
  <c r="E47" i="1"/>
  <c r="E45" i="1"/>
  <c r="E15" i="1"/>
  <c r="E54" i="1"/>
  <c r="E63" i="1"/>
  <c r="E4" i="1"/>
  <c r="E74" i="1"/>
  <c r="E65" i="1"/>
  <c r="E56" i="1"/>
  <c r="E34" i="1"/>
  <c r="E75" i="1"/>
  <c r="E30" i="1"/>
  <c r="E26" i="1"/>
  <c r="E9" i="1"/>
  <c r="E19" i="1"/>
  <c r="E6" i="1"/>
  <c r="E17" i="1"/>
  <c r="E80" i="1"/>
  <c r="E16" i="1"/>
  <c r="E64" i="1"/>
  <c r="E31" i="1"/>
  <c r="E67" i="1"/>
  <c r="E43" i="1"/>
  <c r="E33" i="1"/>
  <c r="E78" i="1"/>
  <c r="E25" i="1"/>
  <c r="E12" i="1"/>
  <c r="E76" i="1"/>
  <c r="E32" i="1"/>
  <c r="E28" i="1"/>
  <c r="E57" i="1"/>
  <c r="E38" i="1"/>
  <c r="E24" i="1"/>
  <c r="E50" i="1"/>
  <c r="E39" i="1"/>
  <c r="E72" i="1"/>
  <c r="E71" i="1"/>
  <c r="E73" i="1"/>
  <c r="E83" i="1"/>
  <c r="E84" i="1"/>
  <c r="E85" i="1"/>
  <c r="E86" i="1"/>
  <c r="E8" i="1"/>
  <c r="E20" i="1"/>
  <c r="E87" i="1"/>
  <c r="E88" i="1"/>
  <c r="E89" i="1"/>
  <c r="E90" i="1"/>
  <c r="E91" i="1"/>
  <c r="E92" i="1"/>
  <c r="E93" i="1"/>
  <c r="E94" i="1"/>
  <c r="E61" i="1"/>
  <c r="E77" i="1"/>
  <c r="E82" i="1"/>
  <c r="E44" i="1"/>
</calcChain>
</file>

<file path=xl/sharedStrings.xml><?xml version="1.0" encoding="utf-8"?>
<sst xmlns="http://schemas.openxmlformats.org/spreadsheetml/2006/main" count="410" uniqueCount="127">
  <si>
    <t>Produit Fini</t>
  </si>
  <si>
    <t>Unite</t>
  </si>
  <si>
    <t>Prod Quantite</t>
  </si>
  <si>
    <t>Prod Valeur</t>
  </si>
  <si>
    <t>Stock Quantite</t>
  </si>
  <si>
    <t>Stock Valeur</t>
  </si>
  <si>
    <t>Site Production</t>
  </si>
  <si>
    <t>Denomination</t>
  </si>
  <si>
    <t>ATTACHE RAPPIDE FLECHE GOUDER</t>
  </si>
  <si>
    <t>BALANCIER</t>
  </si>
  <si>
    <t>BIQUILLE</t>
  </si>
  <si>
    <t>BOITE DE CAISSE</t>
  </si>
  <si>
    <t>CONCEPTION BALANCIER</t>
  </si>
  <si>
    <t>CONCEPTION BENNE AVEC VERIN</t>
  </si>
  <si>
    <t>CONCEPTION BEQUILLE</t>
  </si>
  <si>
    <t>CONCEPTION BOITE CAISSE</t>
  </si>
  <si>
    <t>CONCEPTION CAISSE BENNE AVEC EXTANTION RIDELLE</t>
  </si>
  <si>
    <t>CONCEPTION CAISSE BENNE COMPLET</t>
  </si>
  <si>
    <t>CONCEPTION CARROSSERIE  PLATEAU  RIDELLE</t>
  </si>
  <si>
    <t>CONCEPTION CITERNE  A EAU</t>
  </si>
  <si>
    <t>CONCEPTION ESSIEU AR</t>
  </si>
  <si>
    <t>CONCEPTION ESSIEU AV</t>
  </si>
  <si>
    <t>CONCEPTION ESSIEU COMPLET</t>
  </si>
  <si>
    <t>CONCEPTION FLECHE</t>
  </si>
  <si>
    <t>CONCEPTION FLECHE AVEC VERIN</t>
  </si>
  <si>
    <t>CONCEPTION GARDE BOUE</t>
  </si>
  <si>
    <t>CONCEPTION GOUDET</t>
  </si>
  <si>
    <t>CONCEPTION JEU BEQUILLE</t>
  </si>
  <si>
    <t>CONCEPTION JUMELLES CENTRAL</t>
  </si>
  <si>
    <t>CONCEPTION KIT BEQUILLES TELESCOPIE</t>
  </si>
  <si>
    <t>CONCEPTION KIT DE FREIN</t>
  </si>
  <si>
    <t>CONCEPTION KIT DE RIDELLE</t>
  </si>
  <si>
    <t>CONCEPTION KIT DE SUSPENSION</t>
  </si>
  <si>
    <t>CONCEPTION KIT DE TWISLOOCK</t>
  </si>
  <si>
    <t>CONCEPTION KIT LAME DE RESSORT</t>
  </si>
  <si>
    <t>CONCEPTION KIT TRODOPE</t>
  </si>
  <si>
    <t>CONCEPTION PANNAU ARRIERE</t>
  </si>
  <si>
    <t>CONCEPTION PANNEAU AV</t>
  </si>
  <si>
    <t>CONCEPTION PANNEAU LATERAL</t>
  </si>
  <si>
    <t>CONCEPTION PAR CHOC</t>
  </si>
  <si>
    <t>CONCEPTION (PAR CHOC ESSIEUX)</t>
  </si>
  <si>
    <t>CONCEPTION   PIED D'APPUI HYDRAULIQUE</t>
  </si>
  <si>
    <t>CONCEPTION PIED D'APUIT</t>
  </si>
  <si>
    <t>CONCEPTION PLANCHER ET RIDELLE</t>
  </si>
  <si>
    <t>CONCEPTION PLATEAU MARAICHER</t>
  </si>
  <si>
    <t>CONCEPTION PLATEAU RIDEL</t>
  </si>
  <si>
    <t>CONCEPTION PORT ARRIER</t>
  </si>
  <si>
    <t>CONCEPTION PORTE UNIVERSELLE BENNE</t>
  </si>
  <si>
    <t>CONCEPTION RIDELLE</t>
  </si>
  <si>
    <t>CONCEPTION RIDELLE ET KIT DE FREIN</t>
  </si>
  <si>
    <t>CONCEPTION SUPPORT TWISLOCK</t>
  </si>
  <si>
    <t>CONCEPTION SUSPENSION</t>
  </si>
  <si>
    <t>ESSIEUX COMPLET</t>
  </si>
  <si>
    <t>GARDE BOUE</t>
  </si>
  <si>
    <t>GOUDET</t>
  </si>
  <si>
    <t>JEU BEQUILLE</t>
  </si>
  <si>
    <t>JUMELLES CENTRAL</t>
  </si>
  <si>
    <t>KIT BEQUILLE</t>
  </si>
  <si>
    <t>KIT DE FREIN COMPLET</t>
  </si>
  <si>
    <t>KIT DE RIDELLE</t>
  </si>
  <si>
    <t>KIT DE SUSPENSION</t>
  </si>
  <si>
    <t>KIT ESSIEU AR</t>
  </si>
  <si>
    <t>KIT ESSIEUX COMPLET</t>
  </si>
  <si>
    <t>KIT FREIN</t>
  </si>
  <si>
    <t>KIT HYDRAULIQUE</t>
  </si>
  <si>
    <t>KIT LAME DE RESSORT</t>
  </si>
  <si>
    <t>KIT TAMBOUR</t>
  </si>
  <si>
    <t>KIT VERIN</t>
  </si>
  <si>
    <t>MOYEU COMPLET</t>
  </si>
  <si>
    <t>PANNEAU  AV</t>
  </si>
  <si>
    <t>PAR CHOC COMPLET AVEC FEU</t>
  </si>
  <si>
    <t>PIED DE RANCHER</t>
  </si>
  <si>
    <t>PORTE ARRIERE UNIVERSELLE</t>
  </si>
  <si>
    <t>QUAI DE CHARGEMENT MOBILE AVEC RAMPE HYDRAULIQUE</t>
  </si>
  <si>
    <t>RAMPE</t>
  </si>
  <si>
    <t>RENFORCEMENT CHASSI</t>
  </si>
  <si>
    <t>RENNOVATION ET RENFOCEMENT CHASSIS POUR SEMI REMORQUE PLATEAU</t>
  </si>
  <si>
    <t>RENOVATION BOIT CAISSE 35M3</t>
  </si>
  <si>
    <t>RENOVATION CITERNE</t>
  </si>
  <si>
    <t>RENOVATION PLANCHER</t>
  </si>
  <si>
    <t>RENOVATION PLANCHER AVEC CONCEPTION TWISLOCK</t>
  </si>
  <si>
    <t>REPARATION BENNE</t>
  </si>
  <si>
    <t>REPARATION CAISSE BENNE</t>
  </si>
  <si>
    <t>REPARATION TABLE DE VERIN</t>
  </si>
  <si>
    <t>RESSORTS DE SUSPENSION</t>
  </si>
  <si>
    <t>semi-remorque bnne SRB 32</t>
  </si>
  <si>
    <t>semi-remorque bnne SRB 35</t>
  </si>
  <si>
    <t>semi-remorque bnne SRB 48</t>
  </si>
  <si>
    <t>semi-remorque citerne à eau SRCE 35</t>
  </si>
  <si>
    <t>SEMI REMORQUE PLATEAU 03 ESSIEUX 52T</t>
  </si>
  <si>
    <t>SEMI REMORQUE PLATEAU 2 ESSIEUX 32 T</t>
  </si>
  <si>
    <t>semi-remorque plateau SRP 32</t>
  </si>
  <si>
    <t>semi-remorque plateau SRP 35</t>
  </si>
  <si>
    <t>semi-remorque plateau SRP 45</t>
  </si>
  <si>
    <t>semi-remorque plateau SRP 52</t>
  </si>
  <si>
    <t>semi-remorque porte-conteneur CPC 35</t>
  </si>
  <si>
    <t>semi-remorque porte-engin SRPE 40</t>
  </si>
  <si>
    <t>semi-remorque porte-engin SRPE 54</t>
  </si>
  <si>
    <t>semi-remorque porte-engin SRPE 64</t>
  </si>
  <si>
    <t>TABLE DE SELETTE</t>
  </si>
  <si>
    <t>TOURET D'ARRIMAGE</t>
  </si>
  <si>
    <t>VERROU DE RIDELLE</t>
  </si>
  <si>
    <t>Unit Name</t>
  </si>
  <si>
    <t>Capacité de charge en tonne</t>
  </si>
  <si>
    <t>Tonne</t>
  </si>
  <si>
    <t>Tonnage brut (Gross tonnage)</t>
  </si>
  <si>
    <t>Mètre cube</t>
  </si>
  <si>
    <t>Paire (ex: chaussures)</t>
  </si>
  <si>
    <t>Millilitre</t>
  </si>
  <si>
    <t>Nombre d'unités individuelles ou de pièces</t>
  </si>
  <si>
    <t>Litre</t>
  </si>
  <si>
    <t>Mètre carré</t>
  </si>
  <si>
    <t>Kilogramme</t>
  </si>
  <si>
    <t>1000 u: Millier de pièces ou unités</t>
  </si>
  <si>
    <t>Mètre</t>
  </si>
  <si>
    <t>Décatonne (10 tonnes=10000kg)</t>
  </si>
  <si>
    <t>Hectolitre (1 hl = 100 litres = 100 dm³ = 0,1 m³)</t>
  </si>
  <si>
    <t>Décitonne (100 kg)</t>
  </si>
  <si>
    <t>Pied carré</t>
  </si>
  <si>
    <t>Centaine de pièces  ou unités</t>
  </si>
  <si>
    <t>Gramme</t>
  </si>
  <si>
    <t>Carat (principalement pour les pierres précieuses)</t>
  </si>
  <si>
    <t>Site Name</t>
  </si>
  <si>
    <t>SARL DPR AXXAM</t>
  </si>
  <si>
    <t>SARL DPR AXXAM BRIQUETRIE</t>
  </si>
  <si>
    <t xml:space="preserve">conception caisse benne complet </t>
  </si>
  <si>
    <t>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</si>
</sst>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43" fontId="2" fillId="0" borderId="0" xfId="1" applyFont="1"/>
    <xf numFmtId="43" fontId="0" fillId="0" borderId="0" xfId="0" applyNumberFormat="1"/>
    <xf numFmtId="0" fontId="0" fillId="0" borderId="0" xfId="0" applyFill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workbookViewId="0">
      <selection sqref="A1:I96"/>
    </sheetView>
  </sheetViews>
  <sheetFormatPr baseColWidth="10" defaultColWidth="9.140625" defaultRowHeight="15" x14ac:dyDescent="0.25"/>
  <cols>
    <col min="1" max="1" width="68.85546875" bestFit="1" customWidth="1"/>
    <col min="2" max="2" width="40.140625" bestFit="1" customWidth="1"/>
    <col min="3" max="3" width="13.42578125" bestFit="1" customWidth="1"/>
    <col min="4" max="4" width="15.28515625" bestFit="1" customWidth="1"/>
    <col min="5" max="5" width="16.42578125" bestFit="1" customWidth="1"/>
    <col min="6" max="6" width="14" bestFit="1" customWidth="1"/>
    <col min="7" max="7" width="14" customWidth="1"/>
    <col min="8" max="9" width="16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</row>
    <row r="2" spans="1:9" x14ac:dyDescent="0.25">
      <c r="A2" s="4" t="s">
        <v>51</v>
      </c>
      <c r="B2" t="s">
        <v>109</v>
      </c>
      <c r="C2">
        <v>239</v>
      </c>
      <c r="D2" s="1">
        <v>535112.07999999996</v>
      </c>
      <c r="E2" s="1">
        <f t="shared" ref="E2:E33" si="0">+C2*D2</f>
        <v>127891787.11999999</v>
      </c>
      <c r="F2">
        <v>0</v>
      </c>
      <c r="H2" s="1">
        <f t="shared" ref="H2:H43" si="1">+D2*F2</f>
        <v>0</v>
      </c>
      <c r="I2" t="s">
        <v>123</v>
      </c>
    </row>
    <row r="3" spans="1:9" x14ac:dyDescent="0.25">
      <c r="A3" s="4" t="s">
        <v>11</v>
      </c>
      <c r="B3" t="s">
        <v>109</v>
      </c>
      <c r="C3">
        <v>2</v>
      </c>
      <c r="D3" s="1">
        <v>2005000</v>
      </c>
      <c r="E3" s="1">
        <f t="shared" si="0"/>
        <v>4010000</v>
      </c>
      <c r="F3">
        <v>0</v>
      </c>
      <c r="H3" s="1">
        <f t="shared" si="1"/>
        <v>0</v>
      </c>
      <c r="I3" t="s">
        <v>123</v>
      </c>
    </row>
    <row r="4" spans="1:9" x14ac:dyDescent="0.25">
      <c r="A4" s="4" t="s">
        <v>52</v>
      </c>
      <c r="B4" t="s">
        <v>109</v>
      </c>
      <c r="C4">
        <v>108</v>
      </c>
      <c r="D4" s="1">
        <v>282143.71000000002</v>
      </c>
      <c r="E4" s="1">
        <f t="shared" si="0"/>
        <v>30471520.680000003</v>
      </c>
      <c r="F4">
        <v>10</v>
      </c>
      <c r="H4" s="1">
        <f t="shared" si="1"/>
        <v>2821437.1</v>
      </c>
      <c r="I4" t="s">
        <v>123</v>
      </c>
    </row>
    <row r="5" spans="1:9" x14ac:dyDescent="0.25">
      <c r="A5" s="4" t="s">
        <v>45</v>
      </c>
      <c r="B5" t="s">
        <v>109</v>
      </c>
      <c r="C5">
        <v>16</v>
      </c>
      <c r="D5" s="1">
        <v>759125</v>
      </c>
      <c r="E5" s="1">
        <f t="shared" si="0"/>
        <v>12146000</v>
      </c>
      <c r="F5">
        <v>0</v>
      </c>
      <c r="H5" s="1">
        <f t="shared" si="1"/>
        <v>0</v>
      </c>
      <c r="I5" t="s">
        <v>123</v>
      </c>
    </row>
    <row r="6" spans="1:9" x14ac:dyDescent="0.25">
      <c r="A6" s="4" t="s">
        <v>62</v>
      </c>
      <c r="B6" t="s">
        <v>109</v>
      </c>
      <c r="C6">
        <v>40</v>
      </c>
      <c r="D6" s="1">
        <v>270161.2</v>
      </c>
      <c r="E6" s="1">
        <f t="shared" si="0"/>
        <v>10806448</v>
      </c>
      <c r="F6">
        <v>3</v>
      </c>
      <c r="H6" s="1">
        <f t="shared" si="1"/>
        <v>810483.60000000009</v>
      </c>
      <c r="I6" t="s">
        <v>123</v>
      </c>
    </row>
    <row r="7" spans="1:9" x14ac:dyDescent="0.25">
      <c r="A7" s="4" t="s">
        <v>13</v>
      </c>
      <c r="B7" t="s">
        <v>109</v>
      </c>
      <c r="C7">
        <v>13</v>
      </c>
      <c r="D7" s="1">
        <v>770769.23</v>
      </c>
      <c r="E7" s="1">
        <f t="shared" si="0"/>
        <v>10019999.99</v>
      </c>
      <c r="F7">
        <v>0</v>
      </c>
      <c r="H7" s="1">
        <f t="shared" si="1"/>
        <v>0</v>
      </c>
      <c r="I7" t="s">
        <v>123</v>
      </c>
    </row>
    <row r="8" spans="1:9" x14ac:dyDescent="0.25">
      <c r="A8" s="4" t="s">
        <v>89</v>
      </c>
      <c r="B8" t="s">
        <v>109</v>
      </c>
      <c r="C8">
        <v>3</v>
      </c>
      <c r="D8" s="1">
        <v>3303533.33</v>
      </c>
      <c r="E8" s="1">
        <f t="shared" si="0"/>
        <v>9910599.9900000002</v>
      </c>
      <c r="F8">
        <v>1</v>
      </c>
      <c r="H8" s="1">
        <f t="shared" si="1"/>
        <v>3303533.33</v>
      </c>
      <c r="I8" t="s">
        <v>123</v>
      </c>
    </row>
    <row r="9" spans="1:9" x14ac:dyDescent="0.25">
      <c r="A9" s="4" t="s">
        <v>60</v>
      </c>
      <c r="B9" t="s">
        <v>109</v>
      </c>
      <c r="C9">
        <v>25</v>
      </c>
      <c r="D9" s="1">
        <v>338516.17</v>
      </c>
      <c r="E9" s="1">
        <f t="shared" si="0"/>
        <v>8462904.25</v>
      </c>
      <c r="F9">
        <v>24</v>
      </c>
      <c r="H9" s="1">
        <f t="shared" si="1"/>
        <v>8124388.0800000001</v>
      </c>
      <c r="I9" t="s">
        <v>123</v>
      </c>
    </row>
    <row r="10" spans="1:9" x14ac:dyDescent="0.25">
      <c r="A10" s="4" t="s">
        <v>20</v>
      </c>
      <c r="B10" t="s">
        <v>109</v>
      </c>
      <c r="C10">
        <v>34</v>
      </c>
      <c r="D10" s="1">
        <v>238460.17</v>
      </c>
      <c r="E10" s="1">
        <f t="shared" si="0"/>
        <v>8107645.7800000003</v>
      </c>
      <c r="F10">
        <v>0</v>
      </c>
      <c r="H10" s="1">
        <f t="shared" si="1"/>
        <v>0</v>
      </c>
      <c r="I10" t="s">
        <v>123</v>
      </c>
    </row>
    <row r="11" spans="1:9" x14ac:dyDescent="0.25">
      <c r="A11" s="4" t="s">
        <v>44</v>
      </c>
      <c r="B11" t="s">
        <v>109</v>
      </c>
      <c r="C11">
        <v>10</v>
      </c>
      <c r="D11" s="1">
        <v>746000</v>
      </c>
      <c r="E11" s="1">
        <f t="shared" si="0"/>
        <v>7460000</v>
      </c>
      <c r="F11">
        <v>0</v>
      </c>
      <c r="H11" s="1">
        <f t="shared" si="1"/>
        <v>0</v>
      </c>
      <c r="I11" t="s">
        <v>123</v>
      </c>
    </row>
    <row r="12" spans="1:9" x14ac:dyDescent="0.25">
      <c r="A12" s="4" t="s">
        <v>73</v>
      </c>
      <c r="B12" t="s">
        <v>109</v>
      </c>
      <c r="C12">
        <v>1</v>
      </c>
      <c r="D12" s="1">
        <v>6350000</v>
      </c>
      <c r="E12" s="1">
        <f t="shared" si="0"/>
        <v>6350000</v>
      </c>
      <c r="F12">
        <v>0</v>
      </c>
      <c r="H12" s="1">
        <f t="shared" si="1"/>
        <v>0</v>
      </c>
      <c r="I12" t="s">
        <v>123</v>
      </c>
    </row>
    <row r="13" spans="1:9" x14ac:dyDescent="0.25">
      <c r="A13" s="4" t="s">
        <v>32</v>
      </c>
      <c r="B13" t="s">
        <v>109</v>
      </c>
      <c r="C13">
        <v>11</v>
      </c>
      <c r="D13" s="1">
        <v>524296.26</v>
      </c>
      <c r="E13" s="1">
        <f t="shared" si="0"/>
        <v>5767258.8600000003</v>
      </c>
      <c r="F13">
        <v>0</v>
      </c>
      <c r="H13" s="1">
        <f t="shared" si="1"/>
        <v>0</v>
      </c>
      <c r="I13" t="s">
        <v>123</v>
      </c>
    </row>
    <row r="14" spans="1:9" x14ac:dyDescent="0.25">
      <c r="A14" s="4" t="s">
        <v>9</v>
      </c>
      <c r="B14" t="s">
        <v>109</v>
      </c>
      <c r="C14">
        <v>41</v>
      </c>
      <c r="D14" s="1">
        <v>137875.14000000001</v>
      </c>
      <c r="E14" s="1">
        <f t="shared" si="0"/>
        <v>5652880.7400000002</v>
      </c>
      <c r="F14">
        <v>20</v>
      </c>
      <c r="H14" s="1">
        <f t="shared" si="1"/>
        <v>2757502.8000000003</v>
      </c>
      <c r="I14" t="s">
        <v>123</v>
      </c>
    </row>
    <row r="15" spans="1:9" x14ac:dyDescent="0.25">
      <c r="A15" s="4" t="s">
        <v>48</v>
      </c>
      <c r="B15" t="s">
        <v>109</v>
      </c>
      <c r="C15">
        <v>16</v>
      </c>
      <c r="D15" s="1">
        <v>311467.48</v>
      </c>
      <c r="E15" s="1">
        <f t="shared" si="0"/>
        <v>4983479.68</v>
      </c>
      <c r="F15">
        <v>0</v>
      </c>
      <c r="H15" s="1">
        <f t="shared" si="1"/>
        <v>0</v>
      </c>
      <c r="I15" t="s">
        <v>123</v>
      </c>
    </row>
    <row r="16" spans="1:9" x14ac:dyDescent="0.25">
      <c r="A16" s="4" t="s">
        <v>65</v>
      </c>
      <c r="B16" t="s">
        <v>109</v>
      </c>
      <c r="C16">
        <v>47</v>
      </c>
      <c r="D16" s="1">
        <v>93352.78</v>
      </c>
      <c r="E16" s="1">
        <f t="shared" si="0"/>
        <v>4387580.66</v>
      </c>
      <c r="F16">
        <v>32</v>
      </c>
      <c r="H16" s="1">
        <f t="shared" si="1"/>
        <v>2987288.96</v>
      </c>
      <c r="I16" t="s">
        <v>123</v>
      </c>
    </row>
    <row r="17" spans="1:9" x14ac:dyDescent="0.25">
      <c r="A17" s="4" t="s">
        <v>63</v>
      </c>
      <c r="B17" t="s">
        <v>109</v>
      </c>
      <c r="C17">
        <v>44</v>
      </c>
      <c r="D17" s="1">
        <v>92706</v>
      </c>
      <c r="E17" s="1">
        <f t="shared" si="0"/>
        <v>4079064</v>
      </c>
      <c r="F17">
        <v>10</v>
      </c>
      <c r="H17" s="1">
        <f t="shared" si="1"/>
        <v>927060</v>
      </c>
      <c r="I17" t="s">
        <v>123</v>
      </c>
    </row>
    <row r="18" spans="1:9" x14ac:dyDescent="0.25">
      <c r="A18" s="4" t="s">
        <v>22</v>
      </c>
      <c r="B18" t="s">
        <v>109</v>
      </c>
      <c r="C18">
        <v>15</v>
      </c>
      <c r="D18" s="1">
        <v>260280.11</v>
      </c>
      <c r="E18" s="1">
        <f t="shared" si="0"/>
        <v>3904201.65</v>
      </c>
      <c r="F18">
        <v>0</v>
      </c>
      <c r="H18" s="1">
        <f t="shared" si="1"/>
        <v>0</v>
      </c>
      <c r="I18" t="s">
        <v>123</v>
      </c>
    </row>
    <row r="19" spans="1:9" x14ac:dyDescent="0.25">
      <c r="A19" s="4" t="s">
        <v>61</v>
      </c>
      <c r="B19" t="s">
        <v>109</v>
      </c>
      <c r="C19">
        <v>26</v>
      </c>
      <c r="D19" s="1">
        <v>140528.31</v>
      </c>
      <c r="E19" s="1">
        <f t="shared" si="0"/>
        <v>3653736.06</v>
      </c>
      <c r="F19">
        <v>6</v>
      </c>
      <c r="H19" s="1">
        <f t="shared" si="1"/>
        <v>843169.86</v>
      </c>
      <c r="I19" t="s">
        <v>123</v>
      </c>
    </row>
    <row r="20" spans="1:9" x14ac:dyDescent="0.25">
      <c r="A20" s="4" t="s">
        <v>90</v>
      </c>
      <c r="B20" t="s">
        <v>109</v>
      </c>
      <c r="C20">
        <v>1</v>
      </c>
      <c r="D20" s="1">
        <v>3650000</v>
      </c>
      <c r="E20" s="1">
        <f t="shared" si="0"/>
        <v>3650000</v>
      </c>
      <c r="F20">
        <v>5</v>
      </c>
      <c r="H20" s="2">
        <f t="shared" si="1"/>
        <v>18250000</v>
      </c>
      <c r="I20" t="s">
        <v>123</v>
      </c>
    </row>
    <row r="21" spans="1:9" x14ac:dyDescent="0.25">
      <c r="A21" s="4" t="s">
        <v>30</v>
      </c>
      <c r="B21" t="s">
        <v>109</v>
      </c>
      <c r="C21">
        <v>28</v>
      </c>
      <c r="D21" s="1">
        <v>129985.81</v>
      </c>
      <c r="E21" s="1">
        <f t="shared" si="0"/>
        <v>3639602.6799999997</v>
      </c>
      <c r="F21">
        <v>0</v>
      </c>
      <c r="H21" s="1">
        <f t="shared" si="1"/>
        <v>0</v>
      </c>
      <c r="I21" t="s">
        <v>123</v>
      </c>
    </row>
    <row r="22" spans="1:9" x14ac:dyDescent="0.25">
      <c r="A22" s="4" t="s">
        <v>26</v>
      </c>
      <c r="B22" t="s">
        <v>109</v>
      </c>
      <c r="C22">
        <v>8</v>
      </c>
      <c r="D22" s="1">
        <v>453125</v>
      </c>
      <c r="E22" s="1">
        <f t="shared" si="0"/>
        <v>3625000</v>
      </c>
      <c r="F22">
        <v>0</v>
      </c>
      <c r="H22" s="1">
        <f t="shared" si="1"/>
        <v>0</v>
      </c>
      <c r="I22" t="s">
        <v>123</v>
      </c>
    </row>
    <row r="23" spans="1:9" x14ac:dyDescent="0.25">
      <c r="A23" s="4" t="s">
        <v>23</v>
      </c>
      <c r="B23" t="s">
        <v>109</v>
      </c>
      <c r="C23">
        <v>6</v>
      </c>
      <c r="D23" s="1">
        <v>588452.38</v>
      </c>
      <c r="E23" s="1">
        <f t="shared" si="0"/>
        <v>3530714.2800000003</v>
      </c>
      <c r="F23">
        <v>0</v>
      </c>
      <c r="H23" s="1">
        <f t="shared" si="1"/>
        <v>0</v>
      </c>
      <c r="I23" t="s">
        <v>123</v>
      </c>
    </row>
    <row r="24" spans="1:9" x14ac:dyDescent="0.25">
      <c r="A24" s="4" t="s">
        <v>79</v>
      </c>
      <c r="B24" t="s">
        <v>109</v>
      </c>
      <c r="C24">
        <v>6</v>
      </c>
      <c r="D24" s="1">
        <v>576113.44999999995</v>
      </c>
      <c r="E24" s="1">
        <f t="shared" si="0"/>
        <v>3456680.6999999997</v>
      </c>
      <c r="F24">
        <v>0</v>
      </c>
      <c r="H24" s="1">
        <f t="shared" si="1"/>
        <v>0</v>
      </c>
      <c r="I24" t="s">
        <v>123</v>
      </c>
    </row>
    <row r="25" spans="1:9" x14ac:dyDescent="0.25">
      <c r="A25" s="4" t="s">
        <v>72</v>
      </c>
      <c r="B25" t="s">
        <v>109</v>
      </c>
      <c r="C25">
        <v>15</v>
      </c>
      <c r="D25" s="1">
        <v>226400</v>
      </c>
      <c r="E25" s="1">
        <f t="shared" si="0"/>
        <v>3396000</v>
      </c>
      <c r="F25">
        <v>3</v>
      </c>
      <c r="H25" s="1">
        <f t="shared" si="1"/>
        <v>679200</v>
      </c>
      <c r="I25" t="s">
        <v>123</v>
      </c>
    </row>
    <row r="26" spans="1:9" x14ac:dyDescent="0.25">
      <c r="A26" s="4" t="s">
        <v>59</v>
      </c>
      <c r="B26" t="s">
        <v>109</v>
      </c>
      <c r="C26">
        <v>7</v>
      </c>
      <c r="D26" s="1">
        <v>390465.91</v>
      </c>
      <c r="E26" s="1">
        <f t="shared" si="0"/>
        <v>2733261.3699999996</v>
      </c>
      <c r="F26">
        <v>3</v>
      </c>
      <c r="H26" s="1">
        <f t="shared" si="1"/>
        <v>1171397.73</v>
      </c>
      <c r="I26" t="s">
        <v>123</v>
      </c>
    </row>
    <row r="27" spans="1:9" x14ac:dyDescent="0.25">
      <c r="A27" s="4" t="s">
        <v>37</v>
      </c>
      <c r="B27" t="s">
        <v>109</v>
      </c>
      <c r="C27">
        <v>5</v>
      </c>
      <c r="D27" s="1">
        <v>543800</v>
      </c>
      <c r="E27" s="1">
        <f t="shared" si="0"/>
        <v>2719000</v>
      </c>
      <c r="F27">
        <v>0</v>
      </c>
      <c r="H27" s="1">
        <f t="shared" si="1"/>
        <v>0</v>
      </c>
      <c r="I27" t="s">
        <v>123</v>
      </c>
    </row>
    <row r="28" spans="1:9" x14ac:dyDescent="0.25">
      <c r="A28" s="4" t="s">
        <v>76</v>
      </c>
      <c r="B28" t="s">
        <v>109</v>
      </c>
      <c r="C28">
        <v>3</v>
      </c>
      <c r="D28" s="1">
        <v>816666.67</v>
      </c>
      <c r="E28" s="1">
        <f t="shared" si="0"/>
        <v>2450000.0100000002</v>
      </c>
      <c r="F28">
        <v>0</v>
      </c>
      <c r="H28" s="1">
        <f t="shared" si="1"/>
        <v>0</v>
      </c>
      <c r="I28" t="s">
        <v>123</v>
      </c>
    </row>
    <row r="29" spans="1:9" x14ac:dyDescent="0.25">
      <c r="A29" s="4" t="s">
        <v>14</v>
      </c>
      <c r="B29" t="s">
        <v>109</v>
      </c>
      <c r="C29">
        <v>28</v>
      </c>
      <c r="D29" s="1">
        <v>83178.570000000007</v>
      </c>
      <c r="E29" s="1">
        <f t="shared" si="0"/>
        <v>2328999.96</v>
      </c>
      <c r="F29">
        <v>0</v>
      </c>
      <c r="H29" s="1">
        <f t="shared" si="1"/>
        <v>0</v>
      </c>
      <c r="I29" t="s">
        <v>123</v>
      </c>
    </row>
    <row r="30" spans="1:9" x14ac:dyDescent="0.25">
      <c r="A30" s="4" t="s">
        <v>58</v>
      </c>
      <c r="B30" t="s">
        <v>109</v>
      </c>
      <c r="C30">
        <v>12</v>
      </c>
      <c r="D30" s="1">
        <v>192978.33</v>
      </c>
      <c r="E30" s="1">
        <f t="shared" si="0"/>
        <v>2315739.96</v>
      </c>
      <c r="F30">
        <v>3</v>
      </c>
      <c r="H30" s="1">
        <f t="shared" si="1"/>
        <v>578934.99</v>
      </c>
      <c r="I30" t="s">
        <v>123</v>
      </c>
    </row>
    <row r="31" spans="1:9" x14ac:dyDescent="0.25">
      <c r="A31" s="4" t="s">
        <v>67</v>
      </c>
      <c r="B31" t="s">
        <v>109</v>
      </c>
      <c r="C31">
        <v>10</v>
      </c>
      <c r="D31" s="1">
        <v>226300</v>
      </c>
      <c r="E31" s="1">
        <f t="shared" si="0"/>
        <v>2263000</v>
      </c>
      <c r="F31">
        <v>0</v>
      </c>
      <c r="H31" s="1">
        <f t="shared" si="1"/>
        <v>0</v>
      </c>
      <c r="I31" t="s">
        <v>123</v>
      </c>
    </row>
    <row r="32" spans="1:9" x14ac:dyDescent="0.25">
      <c r="A32" s="4" t="s">
        <v>75</v>
      </c>
      <c r="B32" t="s">
        <v>109</v>
      </c>
      <c r="C32">
        <v>7</v>
      </c>
      <c r="D32" s="1">
        <v>312857.14</v>
      </c>
      <c r="E32" s="1">
        <f t="shared" si="0"/>
        <v>2189999.98</v>
      </c>
      <c r="F32">
        <v>0</v>
      </c>
      <c r="H32" s="1">
        <f t="shared" si="1"/>
        <v>0</v>
      </c>
      <c r="I32" t="s">
        <v>123</v>
      </c>
    </row>
    <row r="33" spans="1:9" x14ac:dyDescent="0.25">
      <c r="A33" s="4" t="s">
        <v>70</v>
      </c>
      <c r="B33" t="s">
        <v>109</v>
      </c>
      <c r="C33">
        <v>22</v>
      </c>
      <c r="D33" s="1">
        <v>89603.17</v>
      </c>
      <c r="E33" s="1">
        <f t="shared" si="0"/>
        <v>1971269.74</v>
      </c>
      <c r="F33">
        <v>0</v>
      </c>
      <c r="H33" s="1">
        <f t="shared" si="1"/>
        <v>0</v>
      </c>
      <c r="I33" t="s">
        <v>123</v>
      </c>
    </row>
    <row r="34" spans="1:9" x14ac:dyDescent="0.25">
      <c r="A34" s="4" t="s">
        <v>56</v>
      </c>
      <c r="B34" t="s">
        <v>109</v>
      </c>
      <c r="C34">
        <v>22</v>
      </c>
      <c r="D34" s="1">
        <v>80141.289999999994</v>
      </c>
      <c r="E34" s="1">
        <f t="shared" ref="E34:E65" si="2">+C34*D34</f>
        <v>1763108.38</v>
      </c>
      <c r="F34">
        <v>98</v>
      </c>
      <c r="H34" s="1">
        <f t="shared" si="1"/>
        <v>7853846.419999999</v>
      </c>
      <c r="I34" t="s">
        <v>123</v>
      </c>
    </row>
    <row r="35" spans="1:9" x14ac:dyDescent="0.25">
      <c r="A35" s="4" t="s">
        <v>40</v>
      </c>
      <c r="B35" t="s">
        <v>109</v>
      </c>
      <c r="C35">
        <v>2</v>
      </c>
      <c r="D35" s="1">
        <v>823000</v>
      </c>
      <c r="E35" s="1">
        <f t="shared" si="2"/>
        <v>1646000</v>
      </c>
      <c r="F35">
        <v>0</v>
      </c>
      <c r="H35" s="1">
        <f t="shared" si="1"/>
        <v>0</v>
      </c>
      <c r="I35" t="s">
        <v>123</v>
      </c>
    </row>
    <row r="36" spans="1:9" x14ac:dyDescent="0.25">
      <c r="A36" s="4" t="s">
        <v>43</v>
      </c>
      <c r="B36" t="s">
        <v>109</v>
      </c>
      <c r="C36">
        <v>2</v>
      </c>
      <c r="D36" s="1">
        <v>798000</v>
      </c>
      <c r="E36" s="1">
        <f t="shared" si="2"/>
        <v>1596000</v>
      </c>
      <c r="F36">
        <v>0</v>
      </c>
      <c r="H36" s="1">
        <f t="shared" si="1"/>
        <v>0</v>
      </c>
      <c r="I36" t="s">
        <v>123</v>
      </c>
    </row>
    <row r="37" spans="1:9" x14ac:dyDescent="0.25">
      <c r="A37" s="4" t="s">
        <v>36</v>
      </c>
      <c r="B37" t="s">
        <v>109</v>
      </c>
      <c r="C37">
        <v>5</v>
      </c>
      <c r="D37" s="1">
        <v>286200</v>
      </c>
      <c r="E37" s="1">
        <f t="shared" si="2"/>
        <v>1431000</v>
      </c>
      <c r="F37">
        <v>0</v>
      </c>
      <c r="H37" s="1">
        <f t="shared" si="1"/>
        <v>0</v>
      </c>
      <c r="I37" t="s">
        <v>123</v>
      </c>
    </row>
    <row r="38" spans="1:9" x14ac:dyDescent="0.25">
      <c r="A38" s="4" t="s">
        <v>78</v>
      </c>
      <c r="B38" t="s">
        <v>109</v>
      </c>
      <c r="C38">
        <v>1</v>
      </c>
      <c r="D38" s="1">
        <v>1400000</v>
      </c>
      <c r="E38" s="1">
        <f t="shared" si="2"/>
        <v>1400000</v>
      </c>
      <c r="F38">
        <v>0</v>
      </c>
      <c r="H38" s="1">
        <f t="shared" si="1"/>
        <v>0</v>
      </c>
      <c r="I38" t="s">
        <v>123</v>
      </c>
    </row>
    <row r="39" spans="1:9" x14ac:dyDescent="0.25">
      <c r="A39" s="4" t="s">
        <v>81</v>
      </c>
      <c r="B39" t="s">
        <v>109</v>
      </c>
      <c r="C39">
        <v>4</v>
      </c>
      <c r="D39" s="1">
        <v>323750</v>
      </c>
      <c r="E39" s="1">
        <f t="shared" si="2"/>
        <v>1295000</v>
      </c>
      <c r="F39">
        <v>0</v>
      </c>
      <c r="H39" s="1">
        <f t="shared" si="1"/>
        <v>0</v>
      </c>
      <c r="I39" t="s">
        <v>123</v>
      </c>
    </row>
    <row r="40" spans="1:9" x14ac:dyDescent="0.25">
      <c r="A40" s="4" t="s">
        <v>24</v>
      </c>
      <c r="B40" t="s">
        <v>109</v>
      </c>
      <c r="C40">
        <v>2</v>
      </c>
      <c r="D40" s="1">
        <v>607500</v>
      </c>
      <c r="E40" s="1">
        <f t="shared" si="2"/>
        <v>1215000</v>
      </c>
      <c r="F40">
        <v>0</v>
      </c>
      <c r="H40" s="1">
        <f t="shared" si="1"/>
        <v>0</v>
      </c>
      <c r="I40" t="s">
        <v>123</v>
      </c>
    </row>
    <row r="41" spans="1:9" x14ac:dyDescent="0.25">
      <c r="A41" s="4" t="s">
        <v>27</v>
      </c>
      <c r="B41" t="s">
        <v>109</v>
      </c>
      <c r="C41">
        <v>37</v>
      </c>
      <c r="D41" s="1">
        <v>32206.38</v>
      </c>
      <c r="E41" s="1">
        <f t="shared" si="2"/>
        <v>1191636.06</v>
      </c>
      <c r="F41">
        <v>0</v>
      </c>
      <c r="H41" s="1">
        <f t="shared" si="1"/>
        <v>0</v>
      </c>
      <c r="I41" t="s">
        <v>123</v>
      </c>
    </row>
    <row r="42" spans="1:9" x14ac:dyDescent="0.25">
      <c r="A42" s="4" t="s">
        <v>31</v>
      </c>
      <c r="B42" t="s">
        <v>109</v>
      </c>
      <c r="C42">
        <v>3</v>
      </c>
      <c r="D42" s="1">
        <v>383333.33</v>
      </c>
      <c r="E42" s="1">
        <f t="shared" si="2"/>
        <v>1149999.99</v>
      </c>
      <c r="F42">
        <v>0</v>
      </c>
      <c r="H42" s="1">
        <f t="shared" si="1"/>
        <v>0</v>
      </c>
      <c r="I42" t="s">
        <v>123</v>
      </c>
    </row>
    <row r="43" spans="1:9" x14ac:dyDescent="0.25">
      <c r="A43" s="4" t="s">
        <v>69</v>
      </c>
      <c r="B43" t="s">
        <v>109</v>
      </c>
      <c r="C43">
        <v>14</v>
      </c>
      <c r="D43" s="1">
        <v>81504.98</v>
      </c>
      <c r="E43" s="1">
        <f t="shared" si="2"/>
        <v>1141069.72</v>
      </c>
      <c r="F43">
        <v>0</v>
      </c>
      <c r="H43" s="1">
        <f t="shared" si="1"/>
        <v>0</v>
      </c>
      <c r="I43" t="s">
        <v>123</v>
      </c>
    </row>
    <row r="44" spans="1:9" x14ac:dyDescent="0.25">
      <c r="A44" s="4" t="s">
        <v>8</v>
      </c>
      <c r="B44" t="s">
        <v>109</v>
      </c>
      <c r="C44">
        <v>1</v>
      </c>
      <c r="D44" s="1">
        <v>1100000</v>
      </c>
      <c r="E44" s="1">
        <f t="shared" si="2"/>
        <v>1100000</v>
      </c>
      <c r="F44">
        <v>0</v>
      </c>
      <c r="H44" s="1">
        <v>0</v>
      </c>
      <c r="I44" t="s">
        <v>123</v>
      </c>
    </row>
    <row r="45" spans="1:9" x14ac:dyDescent="0.25">
      <c r="A45" s="4" t="s">
        <v>47</v>
      </c>
      <c r="B45" t="s">
        <v>109</v>
      </c>
      <c r="C45">
        <v>4</v>
      </c>
      <c r="D45" s="1">
        <v>267675</v>
      </c>
      <c r="E45" s="1">
        <f t="shared" si="2"/>
        <v>1070700</v>
      </c>
      <c r="F45">
        <v>0</v>
      </c>
      <c r="H45" s="1">
        <f t="shared" ref="H45:H75" si="3">+D45*F45</f>
        <v>0</v>
      </c>
      <c r="I45" t="s">
        <v>123</v>
      </c>
    </row>
    <row r="46" spans="1:9" x14ac:dyDescent="0.25">
      <c r="A46" s="4" t="s">
        <v>16</v>
      </c>
      <c r="B46" t="s">
        <v>109</v>
      </c>
      <c r="C46">
        <v>1</v>
      </c>
      <c r="D46" s="1">
        <v>980000</v>
      </c>
      <c r="E46" s="1">
        <f t="shared" si="2"/>
        <v>980000</v>
      </c>
      <c r="F46">
        <v>0</v>
      </c>
      <c r="H46" s="1">
        <f t="shared" si="3"/>
        <v>0</v>
      </c>
      <c r="I46" t="s">
        <v>123</v>
      </c>
    </row>
    <row r="47" spans="1:9" x14ac:dyDescent="0.25">
      <c r="A47" s="4" t="s">
        <v>46</v>
      </c>
      <c r="B47" t="s">
        <v>109</v>
      </c>
      <c r="C47">
        <v>5</v>
      </c>
      <c r="D47" s="1">
        <v>188100</v>
      </c>
      <c r="E47" s="1">
        <f t="shared" si="2"/>
        <v>940500</v>
      </c>
      <c r="F47">
        <v>0</v>
      </c>
      <c r="H47" s="1">
        <f t="shared" si="3"/>
        <v>0</v>
      </c>
      <c r="I47" t="s">
        <v>123</v>
      </c>
    </row>
    <row r="48" spans="1:9" x14ac:dyDescent="0.25">
      <c r="A48" s="4" t="s">
        <v>12</v>
      </c>
      <c r="B48" t="s">
        <v>109</v>
      </c>
      <c r="C48">
        <v>22</v>
      </c>
      <c r="D48" s="1">
        <v>38537.24</v>
      </c>
      <c r="E48" s="1">
        <f t="shared" si="2"/>
        <v>847819.27999999991</v>
      </c>
      <c r="F48">
        <v>0</v>
      </c>
      <c r="H48" s="1">
        <f t="shared" si="3"/>
        <v>0</v>
      </c>
      <c r="I48" t="s">
        <v>123</v>
      </c>
    </row>
    <row r="49" spans="1:9" x14ac:dyDescent="0.25">
      <c r="A49" s="4" t="s">
        <v>19</v>
      </c>
      <c r="B49" t="s">
        <v>109</v>
      </c>
      <c r="C49">
        <v>1</v>
      </c>
      <c r="D49" s="1">
        <v>823000</v>
      </c>
      <c r="E49" s="1">
        <f t="shared" si="2"/>
        <v>823000</v>
      </c>
      <c r="F49">
        <v>0</v>
      </c>
      <c r="H49" s="1">
        <f t="shared" si="3"/>
        <v>0</v>
      </c>
      <c r="I49" t="s">
        <v>123</v>
      </c>
    </row>
    <row r="50" spans="1:9" x14ac:dyDescent="0.25">
      <c r="A50" s="4" t="s">
        <v>80</v>
      </c>
      <c r="B50" t="s">
        <v>109</v>
      </c>
      <c r="C50">
        <v>2</v>
      </c>
      <c r="D50" s="1">
        <v>402500</v>
      </c>
      <c r="E50" s="1">
        <f t="shared" si="2"/>
        <v>805000</v>
      </c>
      <c r="F50">
        <v>0</v>
      </c>
      <c r="H50" s="1">
        <f t="shared" si="3"/>
        <v>0</v>
      </c>
      <c r="I50" t="s">
        <v>123</v>
      </c>
    </row>
    <row r="51" spans="1:9" x14ac:dyDescent="0.25">
      <c r="A51" s="4" t="s">
        <v>15</v>
      </c>
      <c r="B51" t="s">
        <v>109</v>
      </c>
      <c r="C51">
        <v>1</v>
      </c>
      <c r="D51" s="1">
        <v>750000</v>
      </c>
      <c r="E51" s="1">
        <f t="shared" si="2"/>
        <v>750000</v>
      </c>
      <c r="F51">
        <v>0</v>
      </c>
      <c r="H51" s="1">
        <f t="shared" si="3"/>
        <v>0</v>
      </c>
      <c r="I51" t="s">
        <v>123</v>
      </c>
    </row>
    <row r="52" spans="1:9" x14ac:dyDescent="0.25">
      <c r="A52" s="4" t="s">
        <v>28</v>
      </c>
      <c r="B52" t="s">
        <v>109</v>
      </c>
      <c r="C52">
        <v>24</v>
      </c>
      <c r="D52" s="1">
        <v>28850</v>
      </c>
      <c r="E52" s="1">
        <f t="shared" si="2"/>
        <v>692400</v>
      </c>
      <c r="F52">
        <v>0</v>
      </c>
      <c r="H52" s="1">
        <f t="shared" si="3"/>
        <v>0</v>
      </c>
      <c r="I52" t="s">
        <v>123</v>
      </c>
    </row>
    <row r="53" spans="1:9" x14ac:dyDescent="0.25">
      <c r="A53" s="4" t="s">
        <v>42</v>
      </c>
      <c r="B53" t="s">
        <v>109</v>
      </c>
      <c r="C53">
        <v>4</v>
      </c>
      <c r="D53" s="1">
        <v>162500</v>
      </c>
      <c r="E53" s="1">
        <f t="shared" si="2"/>
        <v>650000</v>
      </c>
      <c r="F53">
        <v>0</v>
      </c>
      <c r="H53" s="1">
        <f t="shared" si="3"/>
        <v>0</v>
      </c>
      <c r="I53" t="s">
        <v>123</v>
      </c>
    </row>
    <row r="54" spans="1:9" x14ac:dyDescent="0.25">
      <c r="A54" s="4" t="s">
        <v>49</v>
      </c>
      <c r="B54" t="s">
        <v>109</v>
      </c>
      <c r="C54">
        <v>2</v>
      </c>
      <c r="D54" s="1">
        <v>320000</v>
      </c>
      <c r="E54" s="1">
        <f t="shared" si="2"/>
        <v>640000</v>
      </c>
      <c r="F54">
        <v>0</v>
      </c>
      <c r="H54" s="1">
        <f t="shared" si="3"/>
        <v>0</v>
      </c>
      <c r="I54" t="s">
        <v>123</v>
      </c>
    </row>
    <row r="55" spans="1:9" x14ac:dyDescent="0.25">
      <c r="A55" s="4" t="s">
        <v>35</v>
      </c>
      <c r="B55" t="s">
        <v>109</v>
      </c>
      <c r="C55">
        <v>1</v>
      </c>
      <c r="D55" s="1">
        <v>585000</v>
      </c>
      <c r="E55" s="1">
        <f t="shared" si="2"/>
        <v>585000</v>
      </c>
      <c r="F55">
        <v>0</v>
      </c>
      <c r="H55" s="1">
        <f t="shared" si="3"/>
        <v>0</v>
      </c>
      <c r="I55" t="s">
        <v>123</v>
      </c>
    </row>
    <row r="56" spans="1:9" x14ac:dyDescent="0.25">
      <c r="A56" s="4" t="s">
        <v>55</v>
      </c>
      <c r="B56" t="s">
        <v>109</v>
      </c>
      <c r="C56">
        <v>8</v>
      </c>
      <c r="D56" s="1">
        <v>72887.5</v>
      </c>
      <c r="E56" s="1">
        <f t="shared" si="2"/>
        <v>583100</v>
      </c>
      <c r="F56">
        <v>52</v>
      </c>
      <c r="H56" s="1">
        <f t="shared" si="3"/>
        <v>3790150</v>
      </c>
      <c r="I56" t="s">
        <v>123</v>
      </c>
    </row>
    <row r="57" spans="1:9" x14ac:dyDescent="0.25">
      <c r="A57" s="4" t="s">
        <v>77</v>
      </c>
      <c r="B57" t="s">
        <v>109</v>
      </c>
      <c r="C57">
        <v>1</v>
      </c>
      <c r="D57" s="1">
        <v>520000</v>
      </c>
      <c r="E57" s="1">
        <f t="shared" si="2"/>
        <v>520000</v>
      </c>
      <c r="F57">
        <v>0</v>
      </c>
      <c r="H57" s="1">
        <f t="shared" si="3"/>
        <v>0</v>
      </c>
      <c r="I57" t="s">
        <v>123</v>
      </c>
    </row>
    <row r="58" spans="1:9" x14ac:dyDescent="0.25">
      <c r="A58" s="4" t="s">
        <v>21</v>
      </c>
      <c r="B58" t="s">
        <v>109</v>
      </c>
      <c r="C58">
        <v>2</v>
      </c>
      <c r="D58" s="1">
        <v>250000</v>
      </c>
      <c r="E58" s="1">
        <f t="shared" si="2"/>
        <v>500000</v>
      </c>
      <c r="F58">
        <v>0</v>
      </c>
      <c r="H58" s="1">
        <f t="shared" si="3"/>
        <v>0</v>
      </c>
      <c r="I58" t="s">
        <v>123</v>
      </c>
    </row>
    <row r="59" spans="1:9" x14ac:dyDescent="0.25">
      <c r="A59" s="4" t="s">
        <v>29</v>
      </c>
      <c r="B59" t="s">
        <v>109</v>
      </c>
      <c r="C59">
        <v>5</v>
      </c>
      <c r="D59" s="1">
        <v>93500</v>
      </c>
      <c r="E59" s="1">
        <f t="shared" si="2"/>
        <v>467500</v>
      </c>
      <c r="F59">
        <v>0</v>
      </c>
      <c r="H59" s="1">
        <f t="shared" si="3"/>
        <v>0</v>
      </c>
      <c r="I59" t="s">
        <v>123</v>
      </c>
    </row>
    <row r="60" spans="1:9" x14ac:dyDescent="0.25">
      <c r="A60" s="4" t="s">
        <v>38</v>
      </c>
      <c r="B60" t="s">
        <v>109</v>
      </c>
      <c r="C60">
        <v>1</v>
      </c>
      <c r="D60" s="1">
        <v>450000</v>
      </c>
      <c r="E60" s="1">
        <f t="shared" si="2"/>
        <v>450000</v>
      </c>
      <c r="F60">
        <v>0</v>
      </c>
      <c r="H60" s="1">
        <f t="shared" si="3"/>
        <v>0</v>
      </c>
      <c r="I60" t="s">
        <v>123</v>
      </c>
    </row>
    <row r="61" spans="1:9" x14ac:dyDescent="0.25">
      <c r="A61" s="4" t="s">
        <v>99</v>
      </c>
      <c r="B61" t="s">
        <v>109</v>
      </c>
      <c r="C61">
        <v>2</v>
      </c>
      <c r="D61" s="1">
        <v>220000</v>
      </c>
      <c r="E61" s="1">
        <f t="shared" si="2"/>
        <v>440000</v>
      </c>
      <c r="F61">
        <v>0</v>
      </c>
      <c r="H61" s="1">
        <f t="shared" si="3"/>
        <v>0</v>
      </c>
      <c r="I61" t="s">
        <v>123</v>
      </c>
    </row>
    <row r="62" spans="1:9" x14ac:dyDescent="0.25">
      <c r="A62" s="4" t="s">
        <v>18</v>
      </c>
      <c r="B62" t="s">
        <v>109</v>
      </c>
      <c r="C62">
        <v>1</v>
      </c>
      <c r="D62" s="1">
        <v>423193.28</v>
      </c>
      <c r="E62" s="1">
        <f t="shared" si="2"/>
        <v>423193.28</v>
      </c>
      <c r="F62">
        <v>0</v>
      </c>
      <c r="H62" s="1">
        <f t="shared" si="3"/>
        <v>0</v>
      </c>
      <c r="I62" t="s">
        <v>123</v>
      </c>
    </row>
    <row r="63" spans="1:9" x14ac:dyDescent="0.25">
      <c r="A63" s="4" t="s">
        <v>50</v>
      </c>
      <c r="B63" t="s">
        <v>109</v>
      </c>
      <c r="C63">
        <v>4</v>
      </c>
      <c r="D63" s="1">
        <v>105680</v>
      </c>
      <c r="E63" s="1">
        <f t="shared" si="2"/>
        <v>422720</v>
      </c>
      <c r="F63">
        <v>0</v>
      </c>
      <c r="H63" s="1">
        <f t="shared" si="3"/>
        <v>0</v>
      </c>
      <c r="I63" t="s">
        <v>123</v>
      </c>
    </row>
    <row r="64" spans="1:9" x14ac:dyDescent="0.25">
      <c r="A64" s="4" t="s">
        <v>66</v>
      </c>
      <c r="B64" t="s">
        <v>109</v>
      </c>
      <c r="C64">
        <v>16</v>
      </c>
      <c r="D64" s="1">
        <v>23500</v>
      </c>
      <c r="E64" s="1">
        <f t="shared" si="2"/>
        <v>376000</v>
      </c>
      <c r="F64">
        <v>0</v>
      </c>
      <c r="H64" s="1">
        <f t="shared" si="3"/>
        <v>0</v>
      </c>
      <c r="I64" t="s">
        <v>123</v>
      </c>
    </row>
    <row r="65" spans="1:9" x14ac:dyDescent="0.25">
      <c r="A65" s="4" t="s">
        <v>54</v>
      </c>
      <c r="B65" t="s">
        <v>109</v>
      </c>
      <c r="C65">
        <v>1</v>
      </c>
      <c r="D65" s="1">
        <v>310000</v>
      </c>
      <c r="E65" s="1">
        <f t="shared" si="2"/>
        <v>310000</v>
      </c>
      <c r="F65">
        <v>0</v>
      </c>
      <c r="H65" s="1">
        <f t="shared" si="3"/>
        <v>0</v>
      </c>
      <c r="I65" t="s">
        <v>123</v>
      </c>
    </row>
    <row r="66" spans="1:9" x14ac:dyDescent="0.25">
      <c r="A66" s="4" t="s">
        <v>10</v>
      </c>
      <c r="B66" t="s">
        <v>109</v>
      </c>
      <c r="C66">
        <v>2</v>
      </c>
      <c r="D66" s="1">
        <v>145000</v>
      </c>
      <c r="E66" s="1">
        <f t="shared" ref="E66:E94" si="4">+C66*D66</f>
        <v>290000</v>
      </c>
      <c r="F66">
        <v>20</v>
      </c>
      <c r="H66" s="1">
        <f t="shared" si="3"/>
        <v>2900000</v>
      </c>
      <c r="I66" t="s">
        <v>123</v>
      </c>
    </row>
    <row r="67" spans="1:9" x14ac:dyDescent="0.25">
      <c r="A67" s="4" t="s">
        <v>68</v>
      </c>
      <c r="B67" t="s">
        <v>109</v>
      </c>
      <c r="C67">
        <v>6</v>
      </c>
      <c r="D67" s="1">
        <v>45000</v>
      </c>
      <c r="E67" s="1">
        <f t="shared" si="4"/>
        <v>270000</v>
      </c>
      <c r="F67">
        <v>40</v>
      </c>
      <c r="H67" s="1">
        <f t="shared" si="3"/>
        <v>1800000</v>
      </c>
      <c r="I67" t="s">
        <v>123</v>
      </c>
    </row>
    <row r="68" spans="1:9" x14ac:dyDescent="0.25">
      <c r="A68" s="4" t="s">
        <v>39</v>
      </c>
      <c r="B68" t="s">
        <v>109</v>
      </c>
      <c r="C68">
        <v>3</v>
      </c>
      <c r="D68" s="1">
        <v>83100</v>
      </c>
      <c r="E68" s="1">
        <f t="shared" si="4"/>
        <v>249300</v>
      </c>
      <c r="F68">
        <v>0</v>
      </c>
      <c r="H68" s="1">
        <f t="shared" si="3"/>
        <v>0</v>
      </c>
      <c r="I68" t="s">
        <v>123</v>
      </c>
    </row>
    <row r="69" spans="1:9" x14ac:dyDescent="0.25">
      <c r="A69" s="4" t="s">
        <v>34</v>
      </c>
      <c r="B69" t="s">
        <v>109</v>
      </c>
      <c r="C69">
        <v>3</v>
      </c>
      <c r="D69" s="1">
        <v>82980.95</v>
      </c>
      <c r="E69" s="1">
        <f t="shared" si="4"/>
        <v>248942.84999999998</v>
      </c>
      <c r="F69">
        <v>0</v>
      </c>
      <c r="H69" s="1">
        <f t="shared" si="3"/>
        <v>0</v>
      </c>
      <c r="I69" t="s">
        <v>123</v>
      </c>
    </row>
    <row r="70" spans="1:9" x14ac:dyDescent="0.25">
      <c r="A70" s="4" t="s">
        <v>33</v>
      </c>
      <c r="B70" t="s">
        <v>109</v>
      </c>
      <c r="C70">
        <v>13</v>
      </c>
      <c r="D70" s="1">
        <v>18692.310000000001</v>
      </c>
      <c r="E70" s="1">
        <f t="shared" si="4"/>
        <v>243000.03000000003</v>
      </c>
      <c r="F70">
        <v>0</v>
      </c>
      <c r="H70" s="1">
        <f t="shared" si="3"/>
        <v>0</v>
      </c>
      <c r="I70" t="s">
        <v>123</v>
      </c>
    </row>
    <row r="71" spans="1:9" x14ac:dyDescent="0.25">
      <c r="A71" s="4" t="s">
        <v>83</v>
      </c>
      <c r="B71" t="s">
        <v>109</v>
      </c>
      <c r="C71">
        <v>1</v>
      </c>
      <c r="D71" s="1">
        <v>240000</v>
      </c>
      <c r="E71" s="1">
        <f t="shared" si="4"/>
        <v>240000</v>
      </c>
      <c r="F71">
        <v>0</v>
      </c>
      <c r="H71" s="1">
        <f t="shared" si="3"/>
        <v>0</v>
      </c>
      <c r="I71" t="s">
        <v>123</v>
      </c>
    </row>
    <row r="72" spans="1:9" x14ac:dyDescent="0.25">
      <c r="A72" s="4" t="s">
        <v>82</v>
      </c>
      <c r="B72" t="s">
        <v>109</v>
      </c>
      <c r="C72">
        <v>1</v>
      </c>
      <c r="D72" s="1">
        <v>220000</v>
      </c>
      <c r="E72" s="1">
        <f t="shared" si="4"/>
        <v>220000</v>
      </c>
      <c r="F72">
        <v>0</v>
      </c>
      <c r="H72" s="1">
        <f t="shared" si="3"/>
        <v>0</v>
      </c>
      <c r="I72" t="s">
        <v>123</v>
      </c>
    </row>
    <row r="73" spans="1:9" x14ac:dyDescent="0.25">
      <c r="A73" s="4" t="s">
        <v>84</v>
      </c>
      <c r="B73" t="s">
        <v>109</v>
      </c>
      <c r="C73">
        <v>5</v>
      </c>
      <c r="D73" s="1">
        <v>37596.639999999999</v>
      </c>
      <c r="E73" s="1">
        <f t="shared" si="4"/>
        <v>187983.2</v>
      </c>
      <c r="F73">
        <v>6</v>
      </c>
      <c r="H73" s="1">
        <f t="shared" si="3"/>
        <v>225579.84</v>
      </c>
      <c r="I73" t="s">
        <v>123</v>
      </c>
    </row>
    <row r="74" spans="1:9" x14ac:dyDescent="0.25">
      <c r="A74" s="4" t="s">
        <v>53</v>
      </c>
      <c r="B74" t="s">
        <v>109</v>
      </c>
      <c r="C74">
        <v>10</v>
      </c>
      <c r="D74" s="1">
        <v>16348.81</v>
      </c>
      <c r="E74" s="1">
        <f t="shared" si="4"/>
        <v>163488.1</v>
      </c>
      <c r="F74">
        <v>20</v>
      </c>
      <c r="H74" s="1">
        <f t="shared" si="3"/>
        <v>326976.2</v>
      </c>
      <c r="I74" t="s">
        <v>123</v>
      </c>
    </row>
    <row r="75" spans="1:9" x14ac:dyDescent="0.25">
      <c r="A75" s="4" t="s">
        <v>57</v>
      </c>
      <c r="B75" t="s">
        <v>109</v>
      </c>
      <c r="C75">
        <v>2</v>
      </c>
      <c r="D75" s="1">
        <v>69516.78</v>
      </c>
      <c r="E75" s="1">
        <f t="shared" si="4"/>
        <v>139033.56</v>
      </c>
      <c r="F75">
        <v>0</v>
      </c>
      <c r="H75" s="1">
        <f t="shared" si="3"/>
        <v>0</v>
      </c>
      <c r="I75" t="s">
        <v>123</v>
      </c>
    </row>
    <row r="76" spans="1:9" x14ac:dyDescent="0.25">
      <c r="A76" s="4" t="s">
        <v>74</v>
      </c>
      <c r="B76" t="s">
        <v>109</v>
      </c>
      <c r="C76">
        <v>3</v>
      </c>
      <c r="D76" s="1">
        <v>46000</v>
      </c>
      <c r="E76" s="1">
        <f t="shared" si="4"/>
        <v>138000</v>
      </c>
      <c r="F76">
        <v>0</v>
      </c>
      <c r="H76" s="1"/>
      <c r="I76" t="s">
        <v>123</v>
      </c>
    </row>
    <row r="77" spans="1:9" x14ac:dyDescent="0.25">
      <c r="A77" s="4" t="s">
        <v>100</v>
      </c>
      <c r="B77" t="s">
        <v>109</v>
      </c>
      <c r="C77">
        <v>20</v>
      </c>
      <c r="D77" s="1">
        <v>5500</v>
      </c>
      <c r="E77" s="1">
        <f t="shared" si="4"/>
        <v>110000</v>
      </c>
      <c r="F77">
        <v>0</v>
      </c>
      <c r="H77" s="1">
        <f t="shared" ref="H77:H82" si="5">+D77*F77</f>
        <v>0</v>
      </c>
      <c r="I77" t="s">
        <v>123</v>
      </c>
    </row>
    <row r="78" spans="1:9" x14ac:dyDescent="0.25">
      <c r="A78" s="4" t="s">
        <v>71</v>
      </c>
      <c r="B78" t="s">
        <v>109</v>
      </c>
      <c r="C78">
        <v>10</v>
      </c>
      <c r="D78" s="1">
        <v>10500</v>
      </c>
      <c r="E78" s="1">
        <f t="shared" si="4"/>
        <v>105000</v>
      </c>
      <c r="F78">
        <v>0</v>
      </c>
      <c r="H78" s="1">
        <f t="shared" si="5"/>
        <v>0</v>
      </c>
      <c r="I78" t="s">
        <v>123</v>
      </c>
    </row>
    <row r="79" spans="1:9" x14ac:dyDescent="0.25">
      <c r="A79" s="4" t="s">
        <v>41</v>
      </c>
      <c r="B79" t="s">
        <v>109</v>
      </c>
      <c r="C79">
        <v>2</v>
      </c>
      <c r="D79" s="1">
        <v>44705.88</v>
      </c>
      <c r="E79" s="1">
        <f t="shared" si="4"/>
        <v>89411.76</v>
      </c>
      <c r="F79">
        <v>0</v>
      </c>
      <c r="H79" s="1">
        <f t="shared" si="5"/>
        <v>0</v>
      </c>
      <c r="I79" t="s">
        <v>123</v>
      </c>
    </row>
    <row r="80" spans="1:9" x14ac:dyDescent="0.25">
      <c r="A80" s="4" t="s">
        <v>64</v>
      </c>
      <c r="B80" t="s">
        <v>109</v>
      </c>
      <c r="C80">
        <v>1</v>
      </c>
      <c r="D80" s="1">
        <v>85000</v>
      </c>
      <c r="E80" s="1">
        <f t="shared" si="4"/>
        <v>85000</v>
      </c>
      <c r="F80">
        <v>0</v>
      </c>
      <c r="H80" s="1">
        <f t="shared" si="5"/>
        <v>0</v>
      </c>
      <c r="I80" t="s">
        <v>123</v>
      </c>
    </row>
    <row r="81" spans="1:9" x14ac:dyDescent="0.25">
      <c r="A81" s="4" t="s">
        <v>25</v>
      </c>
      <c r="B81" t="s">
        <v>109</v>
      </c>
      <c r="C81">
        <v>2</v>
      </c>
      <c r="D81" s="1">
        <v>35000</v>
      </c>
      <c r="E81" s="1">
        <f t="shared" si="4"/>
        <v>70000</v>
      </c>
      <c r="F81">
        <v>0</v>
      </c>
      <c r="H81" s="1">
        <f t="shared" si="5"/>
        <v>0</v>
      </c>
      <c r="I81" t="s">
        <v>123</v>
      </c>
    </row>
    <row r="82" spans="1:9" x14ac:dyDescent="0.25">
      <c r="A82" s="4" t="s">
        <v>101</v>
      </c>
      <c r="B82" t="s">
        <v>109</v>
      </c>
      <c r="C82">
        <v>10</v>
      </c>
      <c r="D82" s="1">
        <v>2500</v>
      </c>
      <c r="E82" s="1">
        <f t="shared" si="4"/>
        <v>25000</v>
      </c>
      <c r="F82">
        <v>0</v>
      </c>
      <c r="H82" s="1">
        <f t="shared" si="5"/>
        <v>0</v>
      </c>
      <c r="I82" t="s">
        <v>123</v>
      </c>
    </row>
    <row r="83" spans="1:9" x14ac:dyDescent="0.25">
      <c r="A83" s="4" t="s">
        <v>85</v>
      </c>
      <c r="B83" t="s">
        <v>109</v>
      </c>
      <c r="C83">
        <v>0</v>
      </c>
      <c r="D83" s="1">
        <v>4900000</v>
      </c>
      <c r="E83" s="1">
        <f t="shared" si="4"/>
        <v>0</v>
      </c>
      <c r="F83">
        <v>2</v>
      </c>
      <c r="H83" s="1">
        <f>+F83*D83</f>
        <v>9800000</v>
      </c>
      <c r="I83" t="s">
        <v>123</v>
      </c>
    </row>
    <row r="84" spans="1:9" x14ac:dyDescent="0.25">
      <c r="A84" s="4" t="s">
        <v>86</v>
      </c>
      <c r="B84" t="s">
        <v>109</v>
      </c>
      <c r="C84">
        <v>0</v>
      </c>
      <c r="D84" s="1">
        <v>0</v>
      </c>
      <c r="E84" s="1">
        <f t="shared" si="4"/>
        <v>0</v>
      </c>
      <c r="F84">
        <v>0</v>
      </c>
      <c r="H84" s="1">
        <v>4800000</v>
      </c>
      <c r="I84" t="s">
        <v>123</v>
      </c>
    </row>
    <row r="85" spans="1:9" x14ac:dyDescent="0.25">
      <c r="A85" s="4" t="s">
        <v>87</v>
      </c>
      <c r="B85" t="s">
        <v>109</v>
      </c>
      <c r="C85">
        <v>0</v>
      </c>
      <c r="D85" s="1">
        <v>6250000</v>
      </c>
      <c r="E85" s="1">
        <f t="shared" si="4"/>
        <v>0</v>
      </c>
      <c r="F85">
        <v>1</v>
      </c>
      <c r="H85" s="2">
        <v>6250000</v>
      </c>
      <c r="I85" t="s">
        <v>123</v>
      </c>
    </row>
    <row r="86" spans="1:9" x14ac:dyDescent="0.25">
      <c r="A86" s="4" t="s">
        <v>88</v>
      </c>
      <c r="B86" t="s">
        <v>109</v>
      </c>
      <c r="C86">
        <v>0</v>
      </c>
      <c r="D86" s="1">
        <v>4800000</v>
      </c>
      <c r="E86" s="1">
        <f t="shared" si="4"/>
        <v>0</v>
      </c>
      <c r="F86">
        <v>1</v>
      </c>
      <c r="H86" s="2">
        <f>+D86*F86</f>
        <v>4800000</v>
      </c>
      <c r="I86" t="s">
        <v>123</v>
      </c>
    </row>
    <row r="87" spans="1:9" x14ac:dyDescent="0.25">
      <c r="A87" s="4" t="s">
        <v>91</v>
      </c>
      <c r="B87" t="s">
        <v>109</v>
      </c>
      <c r="C87">
        <v>0</v>
      </c>
      <c r="D87" s="1">
        <v>0</v>
      </c>
      <c r="E87" s="1">
        <f t="shared" si="4"/>
        <v>0</v>
      </c>
      <c r="F87">
        <v>0</v>
      </c>
      <c r="H87" s="1">
        <f>+D87*F87</f>
        <v>0</v>
      </c>
      <c r="I87" t="s">
        <v>123</v>
      </c>
    </row>
    <row r="88" spans="1:9" x14ac:dyDescent="0.25">
      <c r="A88" s="4" t="s">
        <v>92</v>
      </c>
      <c r="B88" t="s">
        <v>109</v>
      </c>
      <c r="C88">
        <v>0</v>
      </c>
      <c r="D88" s="1">
        <v>5450000</v>
      </c>
      <c r="E88" s="1">
        <f t="shared" si="4"/>
        <v>0</v>
      </c>
      <c r="F88">
        <v>1</v>
      </c>
      <c r="H88" s="2">
        <v>5450000</v>
      </c>
      <c r="I88" t="s">
        <v>123</v>
      </c>
    </row>
    <row r="89" spans="1:9" x14ac:dyDescent="0.25">
      <c r="A89" s="4" t="s">
        <v>93</v>
      </c>
      <c r="B89" t="s">
        <v>109</v>
      </c>
      <c r="C89">
        <v>0</v>
      </c>
      <c r="D89" s="1">
        <v>6500000</v>
      </c>
      <c r="E89" s="1">
        <f t="shared" si="4"/>
        <v>0</v>
      </c>
      <c r="F89">
        <v>1</v>
      </c>
      <c r="H89" s="2">
        <v>6500000</v>
      </c>
      <c r="I89" t="s">
        <v>123</v>
      </c>
    </row>
    <row r="90" spans="1:9" x14ac:dyDescent="0.25">
      <c r="A90" s="4" t="s">
        <v>94</v>
      </c>
      <c r="B90" t="s">
        <v>109</v>
      </c>
      <c r="C90">
        <v>0</v>
      </c>
      <c r="D90" s="1">
        <v>0</v>
      </c>
      <c r="E90" s="1">
        <f t="shared" si="4"/>
        <v>0</v>
      </c>
      <c r="F90">
        <v>0</v>
      </c>
      <c r="H90" s="1">
        <f>+D90*F90</f>
        <v>0</v>
      </c>
      <c r="I90" t="s">
        <v>123</v>
      </c>
    </row>
    <row r="91" spans="1:9" x14ac:dyDescent="0.25">
      <c r="A91" s="4" t="s">
        <v>95</v>
      </c>
      <c r="B91" t="s">
        <v>109</v>
      </c>
      <c r="C91">
        <v>0</v>
      </c>
      <c r="D91" s="1">
        <v>0</v>
      </c>
      <c r="E91" s="1">
        <f t="shared" si="4"/>
        <v>0</v>
      </c>
      <c r="F91">
        <v>1</v>
      </c>
      <c r="H91" s="1">
        <v>2800000</v>
      </c>
      <c r="I91" t="s">
        <v>123</v>
      </c>
    </row>
    <row r="92" spans="1:9" x14ac:dyDescent="0.25">
      <c r="A92" s="4" t="s">
        <v>96</v>
      </c>
      <c r="B92" t="s">
        <v>109</v>
      </c>
      <c r="C92">
        <v>0</v>
      </c>
      <c r="D92" s="1">
        <v>0</v>
      </c>
      <c r="E92" s="1">
        <f t="shared" si="4"/>
        <v>0</v>
      </c>
      <c r="F92">
        <v>0</v>
      </c>
      <c r="H92" s="1">
        <f>+D92*F92</f>
        <v>0</v>
      </c>
      <c r="I92" t="s">
        <v>123</v>
      </c>
    </row>
    <row r="93" spans="1:9" x14ac:dyDescent="0.25">
      <c r="A93" s="4" t="s">
        <v>97</v>
      </c>
      <c r="B93" t="s">
        <v>109</v>
      </c>
      <c r="C93">
        <v>0</v>
      </c>
      <c r="D93" s="1">
        <v>0</v>
      </c>
      <c r="E93" s="1">
        <f t="shared" si="4"/>
        <v>0</v>
      </c>
      <c r="F93">
        <v>1</v>
      </c>
      <c r="H93" s="1">
        <v>6700000</v>
      </c>
      <c r="I93" t="s">
        <v>123</v>
      </c>
    </row>
    <row r="94" spans="1:9" x14ac:dyDescent="0.25">
      <c r="A94" s="4" t="s">
        <v>98</v>
      </c>
      <c r="B94" t="s">
        <v>109</v>
      </c>
      <c r="C94">
        <v>0</v>
      </c>
      <c r="D94" s="1">
        <v>0</v>
      </c>
      <c r="E94" s="1">
        <f t="shared" si="4"/>
        <v>0</v>
      </c>
      <c r="F94">
        <v>0</v>
      </c>
      <c r="H94" s="1">
        <f>+D94*F94</f>
        <v>0</v>
      </c>
      <c r="I94" t="s">
        <v>123</v>
      </c>
    </row>
    <row r="95" spans="1:9" x14ac:dyDescent="0.25">
      <c r="A95" s="4" t="s">
        <v>125</v>
      </c>
      <c r="B95" t="s">
        <v>109</v>
      </c>
      <c r="C95">
        <v>1</v>
      </c>
      <c r="D95" s="1">
        <v>2607035.71</v>
      </c>
      <c r="E95" s="1">
        <f t="shared" ref="E95:E96" si="6">+C95*D95</f>
        <v>2607035.71</v>
      </c>
      <c r="H95" s="1">
        <f t="shared" ref="H95:H96" si="7">+D95*F95</f>
        <v>0</v>
      </c>
      <c r="I95" t="s">
        <v>123</v>
      </c>
    </row>
    <row r="96" spans="1:9" x14ac:dyDescent="0.25">
      <c r="A96" s="4" t="s">
        <v>126</v>
      </c>
      <c r="B96" t="s">
        <v>109</v>
      </c>
      <c r="C96">
        <v>1</v>
      </c>
      <c r="D96" s="1">
        <v>1268907.56</v>
      </c>
      <c r="E96" s="1">
        <f t="shared" si="6"/>
        <v>1268907.56</v>
      </c>
      <c r="H96" s="1">
        <f t="shared" si="7"/>
        <v>0</v>
      </c>
      <c r="I96" t="s">
        <v>123</v>
      </c>
    </row>
    <row r="97" spans="4:8" x14ac:dyDescent="0.25">
      <c r="D97" s="3"/>
      <c r="E97" s="3"/>
      <c r="H97" s="3"/>
    </row>
    <row r="98" spans="4:8" x14ac:dyDescent="0.25">
      <c r="E98" s="3"/>
    </row>
    <row r="99" spans="4:8" x14ac:dyDescent="0.25">
      <c r="E99" s="3"/>
    </row>
    <row r="100" spans="4:8" x14ac:dyDescent="0.25">
      <c r="E100" s="3"/>
    </row>
    <row r="102" spans="4:8" x14ac:dyDescent="0.25">
      <c r="E102" s="3"/>
    </row>
    <row r="103" spans="4:8" x14ac:dyDescent="0.25">
      <c r="E103" s="3"/>
    </row>
  </sheetData>
  <pageMargins left="0.75" right="0.75" top="1" bottom="1" header="0.5" footer="0.5"/>
  <pageSetup paperSize="9" scale="60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Sheet4!$A$2:$A$20</xm:f>
          </x14:formula1>
          <xm:sqref>B2:B998</xm:sqref>
        </x14:dataValidation>
        <x14:dataValidation type="list" allowBlank="1">
          <x14:formula1>
            <xm:f>Sheet5!$A$2:$A$3</xm:f>
          </x14:formula1>
          <xm:sqref>I2:I998</xm:sqref>
        </x14:dataValidation>
        <x14:dataValidation type="list" allowBlank="1">
          <x14:formula1>
            <xm:f>Sheet3!$A$2:$A$95</xm:f>
          </x14:formula1>
          <xm:sqref>A2:A998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workbookViewId="0">
      <selection activeCell="A13" sqref="A13"/>
    </sheetView>
  </sheetViews>
  <sheetFormatPr baseColWidth="10" defaultColWidth="9.140625" defaultRowHeight="15" x14ac:dyDescent="0.25"/>
  <cols>
    <col min="1" max="1" width="68.85546875" bestFit="1" customWidth="1"/>
  </cols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36</v>
      </c>
    </row>
    <row r="31" spans="1:1" x14ac:dyDescent="0.25">
      <c r="A31" t="s">
        <v>37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56</v>
      </c>
    </row>
    <row r="51" spans="1:1" x14ac:dyDescent="0.25">
      <c r="A51" t="s">
        <v>57</v>
      </c>
    </row>
    <row r="52" spans="1:1" x14ac:dyDescent="0.25">
      <c r="A52" t="s">
        <v>58</v>
      </c>
    </row>
    <row r="53" spans="1:1" x14ac:dyDescent="0.25">
      <c r="A53" t="s">
        <v>59</v>
      </c>
    </row>
    <row r="54" spans="1:1" x14ac:dyDescent="0.25">
      <c r="A54" t="s">
        <v>60</v>
      </c>
    </row>
    <row r="55" spans="1:1" x14ac:dyDescent="0.25">
      <c r="A55" t="s">
        <v>61</v>
      </c>
    </row>
    <row r="56" spans="1:1" x14ac:dyDescent="0.25">
      <c r="A56" t="s">
        <v>62</v>
      </c>
    </row>
    <row r="57" spans="1:1" x14ac:dyDescent="0.25">
      <c r="A57" t="s">
        <v>63</v>
      </c>
    </row>
    <row r="58" spans="1:1" x14ac:dyDescent="0.25">
      <c r="A58" t="s">
        <v>64</v>
      </c>
    </row>
    <row r="59" spans="1:1" x14ac:dyDescent="0.25">
      <c r="A59" t="s">
        <v>65</v>
      </c>
    </row>
    <row r="60" spans="1:1" x14ac:dyDescent="0.25">
      <c r="A60" t="s">
        <v>66</v>
      </c>
    </row>
    <row r="61" spans="1:1" x14ac:dyDescent="0.25">
      <c r="A61" t="s">
        <v>67</v>
      </c>
    </row>
    <row r="62" spans="1:1" x14ac:dyDescent="0.25">
      <c r="A62" t="s">
        <v>68</v>
      </c>
    </row>
    <row r="63" spans="1:1" x14ac:dyDescent="0.25">
      <c r="A63" t="s">
        <v>69</v>
      </c>
    </row>
    <row r="64" spans="1:1" x14ac:dyDescent="0.25">
      <c r="A64" t="s">
        <v>70</v>
      </c>
    </row>
    <row r="65" spans="1:1" x14ac:dyDescent="0.25">
      <c r="A65" t="s">
        <v>71</v>
      </c>
    </row>
    <row r="66" spans="1:1" x14ac:dyDescent="0.25">
      <c r="A66" t="s">
        <v>72</v>
      </c>
    </row>
    <row r="67" spans="1:1" x14ac:dyDescent="0.25">
      <c r="A67" t="s">
        <v>73</v>
      </c>
    </row>
    <row r="68" spans="1:1" x14ac:dyDescent="0.25">
      <c r="A68" t="s">
        <v>74</v>
      </c>
    </row>
    <row r="69" spans="1:1" x14ac:dyDescent="0.25">
      <c r="A69" t="s">
        <v>75</v>
      </c>
    </row>
    <row r="70" spans="1:1" x14ac:dyDescent="0.25">
      <c r="A70" t="s">
        <v>76</v>
      </c>
    </row>
    <row r="71" spans="1:1" x14ac:dyDescent="0.25">
      <c r="A71" t="s">
        <v>77</v>
      </c>
    </row>
    <row r="72" spans="1:1" x14ac:dyDescent="0.25">
      <c r="A72" t="s">
        <v>78</v>
      </c>
    </row>
    <row r="73" spans="1:1" x14ac:dyDescent="0.25">
      <c r="A73" t="s">
        <v>79</v>
      </c>
    </row>
    <row r="74" spans="1:1" x14ac:dyDescent="0.25">
      <c r="A74" t="s">
        <v>80</v>
      </c>
    </row>
    <row r="75" spans="1:1" x14ac:dyDescent="0.25">
      <c r="A75" t="s">
        <v>81</v>
      </c>
    </row>
    <row r="76" spans="1:1" x14ac:dyDescent="0.25">
      <c r="A76" t="s">
        <v>82</v>
      </c>
    </row>
    <row r="77" spans="1:1" x14ac:dyDescent="0.25">
      <c r="A77" t="s">
        <v>83</v>
      </c>
    </row>
    <row r="78" spans="1:1" x14ac:dyDescent="0.25">
      <c r="A78" t="s">
        <v>84</v>
      </c>
    </row>
    <row r="79" spans="1:1" x14ac:dyDescent="0.25">
      <c r="A79" t="s">
        <v>85</v>
      </c>
    </row>
    <row r="80" spans="1:1" x14ac:dyDescent="0.25">
      <c r="A80" t="s">
        <v>86</v>
      </c>
    </row>
    <row r="81" spans="1:1" x14ac:dyDescent="0.25">
      <c r="A81" t="s">
        <v>87</v>
      </c>
    </row>
    <row r="82" spans="1:1" x14ac:dyDescent="0.25">
      <c r="A82" t="s">
        <v>88</v>
      </c>
    </row>
    <row r="83" spans="1:1" x14ac:dyDescent="0.25">
      <c r="A83" t="s">
        <v>89</v>
      </c>
    </row>
    <row r="84" spans="1:1" x14ac:dyDescent="0.25">
      <c r="A84" t="s">
        <v>90</v>
      </c>
    </row>
    <row r="85" spans="1:1" x14ac:dyDescent="0.25">
      <c r="A85" t="s">
        <v>91</v>
      </c>
    </row>
    <row r="86" spans="1:1" x14ac:dyDescent="0.25">
      <c r="A86" t="s">
        <v>92</v>
      </c>
    </row>
    <row r="87" spans="1:1" x14ac:dyDescent="0.25">
      <c r="A87" t="s">
        <v>93</v>
      </c>
    </row>
    <row r="88" spans="1:1" x14ac:dyDescent="0.25">
      <c r="A88" t="s">
        <v>94</v>
      </c>
    </row>
    <row r="89" spans="1:1" x14ac:dyDescent="0.25">
      <c r="A89" t="s">
        <v>95</v>
      </c>
    </row>
    <row r="90" spans="1:1" x14ac:dyDescent="0.25">
      <c r="A90" t="s">
        <v>96</v>
      </c>
    </row>
    <row r="91" spans="1:1" x14ac:dyDescent="0.25">
      <c r="A91" t="s">
        <v>97</v>
      </c>
    </row>
    <row r="92" spans="1:1" x14ac:dyDescent="0.25">
      <c r="A92" t="s">
        <v>98</v>
      </c>
    </row>
    <row r="93" spans="1:1" x14ac:dyDescent="0.25">
      <c r="A93" t="s">
        <v>99</v>
      </c>
    </row>
    <row r="94" spans="1:1" x14ac:dyDescent="0.25">
      <c r="A94" t="s">
        <v>100</v>
      </c>
    </row>
    <row r="95" spans="1:1" x14ac:dyDescent="0.25">
      <c r="A95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102</v>
      </c>
    </row>
    <row r="2" spans="1:1" x14ac:dyDescent="0.25">
      <c r="A2" t="s">
        <v>103</v>
      </c>
    </row>
    <row r="3" spans="1:1" x14ac:dyDescent="0.25">
      <c r="A3" t="s">
        <v>104</v>
      </c>
    </row>
    <row r="4" spans="1:1" x14ac:dyDescent="0.25">
      <c r="A4" t="s">
        <v>105</v>
      </c>
    </row>
    <row r="5" spans="1:1" x14ac:dyDescent="0.25">
      <c r="A5" t="s">
        <v>106</v>
      </c>
    </row>
    <row r="6" spans="1:1" x14ac:dyDescent="0.25">
      <c r="A6" t="s">
        <v>107</v>
      </c>
    </row>
    <row r="7" spans="1:1" x14ac:dyDescent="0.25">
      <c r="A7" t="s">
        <v>108</v>
      </c>
    </row>
    <row r="8" spans="1:1" x14ac:dyDescent="0.25">
      <c r="A8" t="s">
        <v>109</v>
      </c>
    </row>
    <row r="9" spans="1:1" x14ac:dyDescent="0.25">
      <c r="A9" t="s">
        <v>110</v>
      </c>
    </row>
    <row r="10" spans="1:1" x14ac:dyDescent="0.25">
      <c r="A10" t="s">
        <v>111</v>
      </c>
    </row>
    <row r="11" spans="1:1" x14ac:dyDescent="0.25">
      <c r="A11" t="s">
        <v>112</v>
      </c>
    </row>
    <row r="12" spans="1:1" x14ac:dyDescent="0.25">
      <c r="A12" t="s">
        <v>113</v>
      </c>
    </row>
    <row r="13" spans="1:1" x14ac:dyDescent="0.25">
      <c r="A13" t="s">
        <v>114</v>
      </c>
    </row>
    <row r="14" spans="1:1" x14ac:dyDescent="0.25">
      <c r="A14" t="s">
        <v>115</v>
      </c>
    </row>
    <row r="15" spans="1:1" x14ac:dyDescent="0.25">
      <c r="A15" t="s">
        <v>116</v>
      </c>
    </row>
    <row r="16" spans="1:1" x14ac:dyDescent="0.25">
      <c r="A16" t="s">
        <v>117</v>
      </c>
    </row>
    <row r="17" spans="1:1" x14ac:dyDescent="0.25">
      <c r="A17" t="s">
        <v>118</v>
      </c>
    </row>
    <row r="18" spans="1:1" x14ac:dyDescent="0.25">
      <c r="A18" t="s">
        <v>119</v>
      </c>
    </row>
    <row r="19" spans="1:1" x14ac:dyDescent="0.25">
      <c r="A19" t="s">
        <v>120</v>
      </c>
    </row>
    <row r="20" spans="1:1" x14ac:dyDescent="0.25">
      <c r="A20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122</v>
      </c>
    </row>
    <row r="2" spans="1:1" x14ac:dyDescent="0.25">
      <c r="A2" t="s">
        <v>123</v>
      </c>
    </row>
    <row r="3" spans="1:1" x14ac:dyDescent="0.25">
      <c r="A3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Sheet1</vt:lpstr>
      <vt:lpstr>Sheet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2026-09-15T15:15:30Z</cp:lastPrinted>
  <dcterms:created xsi:type="dcterms:W3CDTF">2026-05-11T13:47:41Z</dcterms:created>
  <dcterms:modified xsi:type="dcterms:W3CDTF">2026-09-15T15:48:59Z</dcterms:modified>
</cp:coreProperties>
</file>